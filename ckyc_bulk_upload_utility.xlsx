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
    </mc:Choice>
  </mc:AlternateContent>
  <xr:revisionPtr revIDLastSave="0" documentId="13_ncr:1_{E3E64A9E-6626-496A-BB6F-725620E782F9}" xr6:coauthVersionLast="47" xr6:coauthVersionMax="47" xr10:uidLastSave="{00000000-0000-0000-0000-000000000000}"/>
  <bookViews>
    <workbookView xWindow="-120" yWindow="-120" windowWidth="21840" windowHeight="13020" tabRatio="500" xr2:uid="{00000000-000D-0000-FFFF-FFFF00000000}"/>
  </bookViews>
  <sheets>
    <sheet name="Instructions" sheetId="1" r:id="rId1"/>
    <sheet name="Header (10)" sheetId="2" r:id="rId2"/>
    <sheet name="Applicant (20)" sheetId="3" r:id="rId3"/>
    <sheet name="Identity (30)" sheetId="4" r:id="rId4"/>
    <sheet name="Related Person (40)" sheetId="5" r:id="rId5"/>
    <sheet name="Images (70)" sheetId="6" r:id="rId6"/>
    <sheet name="Build Text File" sheetId="7" r:id="rId7"/>
    <sheet name="Masters" sheetId="8" r:id="rId8"/>
  </sheets>
  <definedNames>
    <definedName name="AccountType">Masters!$J$4:$J$6</definedName>
    <definedName name="ApplicationType">Masters!$G$4:$G$4</definedName>
    <definedName name="BooleanFlag">Masters!$S$4:$S$5</definedName>
    <definedName name="ConstitutionType">Masters!$AH$4:$AH$23</definedName>
    <definedName name="CountryCode">Masters!$BC$4:$BC$252</definedName>
    <definedName name="DocumentMaster">Masters!$AT$4:$AT$36</definedName>
    <definedName name="FatherSpouseFlag">Masters!$P$4:$P$5</definedName>
    <definedName name="Gender">Masters!$A$4:$A$6</definedName>
    <definedName name="IdentityCode">Masters!$AN$4:$AN$26</definedName>
    <definedName name="IdentityVerificationFlag">Masters!$AE$4:$AE$4</definedName>
    <definedName name="KYCDocType">Masters!$V$4:$V$9</definedName>
    <definedName name="KYCDocTypeLE">Masters!$Y$4:$Y$5</definedName>
    <definedName name="ProofOfAddress">Masters!$AQ$4:$AQ$20</definedName>
    <definedName name="RelatedPersonAddDel">Masters!$AB$4:$AB$5</definedName>
    <definedName name="RelatedPersonType">Masters!$AK$4:$AK$18</definedName>
    <definedName name="ResidentialStatus">Masters!$M$4:$M$7</definedName>
    <definedName name="StateMaster">Masters!$AZ$4:$AZ$45</definedName>
    <definedName name="TypeOfImpairment">Masters!$AW$4:$AW$23</definedName>
    <definedName name="YN">Masters!$D$4:$D$5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66" i="6" l="1"/>
  <c r="K66" i="6"/>
  <c r="J66" i="6"/>
  <c r="L65" i="6"/>
  <c r="K65" i="6"/>
  <c r="J65" i="6"/>
  <c r="L64" i="6"/>
  <c r="K64" i="6"/>
  <c r="J64" i="6"/>
  <c r="L63" i="6"/>
  <c r="K63" i="6"/>
  <c r="J63" i="6"/>
  <c r="L62" i="6"/>
  <c r="K62" i="6"/>
  <c r="J62" i="6"/>
  <c r="L61" i="6"/>
  <c r="K61" i="6"/>
  <c r="J61" i="6"/>
  <c r="L60" i="6"/>
  <c r="K60" i="6"/>
  <c r="J60" i="6"/>
  <c r="L59" i="6"/>
  <c r="K59" i="6"/>
  <c r="J59" i="6"/>
  <c r="L58" i="6"/>
  <c r="K58" i="6"/>
  <c r="J58" i="6"/>
  <c r="L57" i="6"/>
  <c r="K57" i="6"/>
  <c r="J57" i="6"/>
  <c r="L56" i="6"/>
  <c r="K56" i="6"/>
  <c r="J56" i="6"/>
  <c r="L55" i="6"/>
  <c r="K55" i="6"/>
  <c r="J55" i="6"/>
  <c r="L54" i="6"/>
  <c r="K54" i="6"/>
  <c r="J54" i="6"/>
  <c r="L53" i="6"/>
  <c r="K53" i="6"/>
  <c r="J53" i="6"/>
  <c r="L52" i="6"/>
  <c r="K52" i="6"/>
  <c r="J52" i="6"/>
  <c r="L51" i="6"/>
  <c r="K51" i="6"/>
  <c r="J51" i="6"/>
  <c r="L50" i="6"/>
  <c r="K50" i="6"/>
  <c r="J50" i="6"/>
  <c r="L49" i="6"/>
  <c r="K49" i="6"/>
  <c r="J49" i="6"/>
  <c r="L48" i="6"/>
  <c r="K48" i="6"/>
  <c r="J48" i="6"/>
  <c r="L47" i="6"/>
  <c r="K47" i="6"/>
  <c r="J47" i="6"/>
  <c r="L46" i="6"/>
  <c r="K46" i="6"/>
  <c r="J46" i="6"/>
  <c r="L45" i="6"/>
  <c r="K45" i="6"/>
  <c r="J45" i="6"/>
  <c r="L44" i="6"/>
  <c r="K44" i="6"/>
  <c r="J44" i="6"/>
  <c r="L43" i="6"/>
  <c r="K43" i="6"/>
  <c r="J43" i="6"/>
  <c r="L42" i="6"/>
  <c r="K42" i="6"/>
  <c r="J42" i="6"/>
  <c r="L41" i="6"/>
  <c r="K41" i="6"/>
  <c r="J41" i="6"/>
  <c r="L40" i="6"/>
  <c r="K40" i="6"/>
  <c r="J40" i="6"/>
  <c r="L39" i="6"/>
  <c r="K39" i="6"/>
  <c r="J39" i="6"/>
  <c r="L38" i="6"/>
  <c r="K38" i="6"/>
  <c r="J38" i="6"/>
  <c r="L37" i="6"/>
  <c r="K37" i="6"/>
  <c r="J37" i="6"/>
  <c r="L36" i="6"/>
  <c r="K36" i="6"/>
  <c r="J36" i="6"/>
  <c r="L35" i="6"/>
  <c r="K35" i="6"/>
  <c r="J35" i="6"/>
  <c r="L34" i="6"/>
  <c r="K34" i="6"/>
  <c r="J34" i="6"/>
  <c r="L33" i="6"/>
  <c r="K33" i="6"/>
  <c r="J33" i="6"/>
  <c r="L32" i="6"/>
  <c r="K32" i="6"/>
  <c r="J32" i="6"/>
  <c r="L31" i="6"/>
  <c r="K31" i="6"/>
  <c r="J31" i="6"/>
  <c r="L30" i="6"/>
  <c r="K30" i="6"/>
  <c r="J30" i="6"/>
  <c r="L29" i="6"/>
  <c r="K29" i="6"/>
  <c r="J29" i="6"/>
  <c r="L28" i="6"/>
  <c r="K28" i="6"/>
  <c r="J28" i="6"/>
  <c r="L27" i="6"/>
  <c r="K27" i="6"/>
  <c r="J27" i="6"/>
  <c r="L26" i="6"/>
  <c r="K26" i="6"/>
  <c r="J26" i="6"/>
  <c r="L25" i="6"/>
  <c r="K25" i="6"/>
  <c r="J25" i="6"/>
  <c r="L24" i="6"/>
  <c r="K24" i="6"/>
  <c r="J24" i="6"/>
  <c r="L23" i="6"/>
  <c r="K23" i="6"/>
  <c r="J23" i="6"/>
  <c r="L22" i="6"/>
  <c r="K22" i="6"/>
  <c r="J22" i="6"/>
  <c r="L21" i="6"/>
  <c r="K21" i="6"/>
  <c r="J21" i="6"/>
  <c r="L20" i="6"/>
  <c r="K20" i="6"/>
  <c r="J20" i="6"/>
  <c r="L19" i="6"/>
  <c r="K19" i="6"/>
  <c r="J19" i="6"/>
  <c r="L18" i="6"/>
  <c r="K18" i="6"/>
  <c r="J18" i="6"/>
  <c r="L17" i="6"/>
  <c r="K17" i="6"/>
  <c r="J17" i="6"/>
  <c r="L16" i="6"/>
  <c r="K16" i="6"/>
  <c r="J16" i="6"/>
  <c r="L15" i="6"/>
  <c r="K15" i="6"/>
  <c r="J15" i="6"/>
  <c r="L14" i="6"/>
  <c r="K14" i="6"/>
  <c r="J14" i="6"/>
  <c r="L13" i="6"/>
  <c r="K13" i="6"/>
  <c r="J13" i="6"/>
  <c r="L12" i="6"/>
  <c r="K12" i="6"/>
  <c r="J12" i="6"/>
  <c r="L11" i="6"/>
  <c r="K11" i="6"/>
  <c r="J11" i="6"/>
  <c r="L10" i="6"/>
  <c r="K10" i="6"/>
  <c r="J10" i="6"/>
  <c r="L9" i="6"/>
  <c r="K9" i="6"/>
  <c r="J9" i="6"/>
  <c r="L8" i="6"/>
  <c r="K8" i="6"/>
  <c r="J8" i="6"/>
  <c r="L7" i="6"/>
  <c r="K7" i="6"/>
  <c r="J7" i="6"/>
  <c r="L6" i="6"/>
  <c r="J6" i="6"/>
  <c r="K6" i="6" s="1"/>
  <c r="CO26" i="5"/>
  <c r="CN26" i="5"/>
  <c r="CM26" i="5"/>
  <c r="CO25" i="5"/>
  <c r="CN25" i="5"/>
  <c r="CM25" i="5"/>
  <c r="CO24" i="5"/>
  <c r="CN24" i="5"/>
  <c r="CM24" i="5"/>
  <c r="CO23" i="5"/>
  <c r="CN23" i="5"/>
  <c r="CM23" i="5"/>
  <c r="CO22" i="5"/>
  <c r="CN22" i="5"/>
  <c r="CM22" i="5"/>
  <c r="CO21" i="5"/>
  <c r="CN21" i="5"/>
  <c r="CM21" i="5"/>
  <c r="CO20" i="5"/>
  <c r="CN20" i="5"/>
  <c r="CM20" i="5"/>
  <c r="CO19" i="5"/>
  <c r="CN19" i="5"/>
  <c r="CM19" i="5"/>
  <c r="CO18" i="5"/>
  <c r="CN18" i="5"/>
  <c r="CM18" i="5"/>
  <c r="CO17" i="5"/>
  <c r="CN17" i="5"/>
  <c r="CM17" i="5"/>
  <c r="CO16" i="5"/>
  <c r="CN16" i="5"/>
  <c r="CM16" i="5"/>
  <c r="CO15" i="5"/>
  <c r="CN15" i="5"/>
  <c r="CM15" i="5"/>
  <c r="CO14" i="5"/>
  <c r="CN14" i="5"/>
  <c r="CM14" i="5"/>
  <c r="CO13" i="5"/>
  <c r="CN13" i="5"/>
  <c r="CM13" i="5"/>
  <c r="CO12" i="5"/>
  <c r="CN12" i="5"/>
  <c r="CM12" i="5"/>
  <c r="CO11" i="5"/>
  <c r="CN11" i="5"/>
  <c r="CM11" i="5"/>
  <c r="CO10" i="5"/>
  <c r="CN10" i="5"/>
  <c r="CM10" i="5"/>
  <c r="CO9" i="5"/>
  <c r="CN9" i="5"/>
  <c r="CM9" i="5"/>
  <c r="CO8" i="5"/>
  <c r="CN8" i="5"/>
  <c r="CM8" i="5"/>
  <c r="CO7" i="5"/>
  <c r="CN7" i="5"/>
  <c r="CM7" i="5"/>
  <c r="CO6" i="5"/>
  <c r="CM6" i="5"/>
  <c r="CN6" i="5" s="1"/>
  <c r="O46" i="4"/>
  <c r="N46" i="4"/>
  <c r="M46" i="4"/>
  <c r="O45" i="4"/>
  <c r="N45" i="4"/>
  <c r="M45" i="4"/>
  <c r="O44" i="4"/>
  <c r="N44" i="4"/>
  <c r="M44" i="4"/>
  <c r="O43" i="4"/>
  <c r="N43" i="4"/>
  <c r="M43" i="4"/>
  <c r="O42" i="4"/>
  <c r="N42" i="4"/>
  <c r="M42" i="4"/>
  <c r="O41" i="4"/>
  <c r="N41" i="4"/>
  <c r="M41" i="4"/>
  <c r="O40" i="4"/>
  <c r="N40" i="4"/>
  <c r="M40" i="4"/>
  <c r="O39" i="4"/>
  <c r="N39" i="4"/>
  <c r="M39" i="4"/>
  <c r="O38" i="4"/>
  <c r="N38" i="4"/>
  <c r="M38" i="4"/>
  <c r="O37" i="4"/>
  <c r="N37" i="4"/>
  <c r="M37" i="4"/>
  <c r="O36" i="4"/>
  <c r="N36" i="4"/>
  <c r="M36" i="4"/>
  <c r="O35" i="4"/>
  <c r="N35" i="4"/>
  <c r="M35" i="4"/>
  <c r="O34" i="4"/>
  <c r="N34" i="4"/>
  <c r="M34" i="4"/>
  <c r="O33" i="4"/>
  <c r="N33" i="4"/>
  <c r="M33" i="4"/>
  <c r="O32" i="4"/>
  <c r="N32" i="4"/>
  <c r="M32" i="4"/>
  <c r="O31" i="4"/>
  <c r="N31" i="4"/>
  <c r="M31" i="4"/>
  <c r="O30" i="4"/>
  <c r="N30" i="4"/>
  <c r="M30" i="4"/>
  <c r="O29" i="4"/>
  <c r="N29" i="4"/>
  <c r="M29" i="4"/>
  <c r="O28" i="4"/>
  <c r="N28" i="4"/>
  <c r="M28" i="4"/>
  <c r="O27" i="4"/>
  <c r="N27" i="4"/>
  <c r="M27" i="4"/>
  <c r="O26" i="4"/>
  <c r="N26" i="4"/>
  <c r="M26" i="4"/>
  <c r="O25" i="4"/>
  <c r="N25" i="4"/>
  <c r="M25" i="4"/>
  <c r="O24" i="4"/>
  <c r="N24" i="4"/>
  <c r="M24" i="4"/>
  <c r="O23" i="4"/>
  <c r="N23" i="4"/>
  <c r="M23" i="4"/>
  <c r="O22" i="4"/>
  <c r="N22" i="4"/>
  <c r="M22" i="4"/>
  <c r="O21" i="4"/>
  <c r="N21" i="4"/>
  <c r="M21" i="4"/>
  <c r="O20" i="4"/>
  <c r="N20" i="4"/>
  <c r="M20" i="4"/>
  <c r="O19" i="4"/>
  <c r="N19" i="4"/>
  <c r="M19" i="4"/>
  <c r="O18" i="4"/>
  <c r="N18" i="4"/>
  <c r="M18" i="4"/>
  <c r="O17" i="4"/>
  <c r="N17" i="4"/>
  <c r="M17" i="4"/>
  <c r="O16" i="4"/>
  <c r="N16" i="4"/>
  <c r="M16" i="4"/>
  <c r="O15" i="4"/>
  <c r="N15" i="4"/>
  <c r="M15" i="4"/>
  <c r="O14" i="4"/>
  <c r="N14" i="4"/>
  <c r="M14" i="4"/>
  <c r="O13" i="4"/>
  <c r="N13" i="4"/>
  <c r="M13" i="4"/>
  <c r="O12" i="4"/>
  <c r="N12" i="4"/>
  <c r="M12" i="4"/>
  <c r="O11" i="4"/>
  <c r="N11" i="4"/>
  <c r="M11" i="4"/>
  <c r="O10" i="4"/>
  <c r="N10" i="4"/>
  <c r="M10" i="4"/>
  <c r="O9" i="4"/>
  <c r="N9" i="4"/>
  <c r="M9" i="4"/>
  <c r="O8" i="4"/>
  <c r="N8" i="4"/>
  <c r="M8" i="4"/>
  <c r="O7" i="4"/>
  <c r="N7" i="4"/>
  <c r="M7" i="4"/>
  <c r="O6" i="4"/>
  <c r="M6" i="4"/>
  <c r="N6" i="4" s="1"/>
  <c r="A46" i="3"/>
  <c r="A45" i="3"/>
  <c r="A44" i="3"/>
  <c r="A43" i="3"/>
  <c r="A42" i="3"/>
  <c r="A41" i="3"/>
  <c r="A40" i="3"/>
  <c r="A39" i="3"/>
  <c r="A38" i="3"/>
  <c r="A37" i="3"/>
  <c r="B444" i="7" s="1"/>
  <c r="A36" i="3"/>
  <c r="A35" i="3"/>
  <c r="B423" i="7" s="1"/>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B17" i="2"/>
  <c r="C8" i="2"/>
  <c r="B16" i="2" s="1"/>
  <c r="B4" i="7" s="1"/>
  <c r="B465" i="7" l="1"/>
  <c r="B461" i="7"/>
  <c r="B457" i="7"/>
  <c r="B462" i="7"/>
  <c r="B456" i="7"/>
  <c r="B466" i="7"/>
  <c r="B464" i="7"/>
  <c r="B459" i="7"/>
  <c r="B454" i="7"/>
  <c r="B463" i="7"/>
  <c r="B458" i="7"/>
  <c r="B460" i="7"/>
  <c r="B455" i="7"/>
  <c r="DS38" i="3"/>
  <c r="B453" i="7" s="1"/>
  <c r="B578" i="7"/>
  <c r="B577" i="7"/>
  <c r="B573" i="7"/>
  <c r="B569" i="7"/>
  <c r="B576" i="7"/>
  <c r="B575" i="7"/>
  <c r="B574" i="7"/>
  <c r="B568" i="7"/>
  <c r="B572" i="7"/>
  <c r="B567" i="7"/>
  <c r="B571" i="7"/>
  <c r="B566" i="7"/>
  <c r="B570" i="7"/>
  <c r="DS46" i="3"/>
  <c r="B565" i="7" s="1"/>
  <c r="B493" i="7"/>
  <c r="B489" i="7"/>
  <c r="B485" i="7"/>
  <c r="B494" i="7"/>
  <c r="B488" i="7"/>
  <c r="B483" i="7"/>
  <c r="B492" i="7"/>
  <c r="B487" i="7"/>
  <c r="B482" i="7"/>
  <c r="B491" i="7"/>
  <c r="B486" i="7"/>
  <c r="B490" i="7"/>
  <c r="B484" i="7"/>
  <c r="DS40" i="3"/>
  <c r="B481" i="7" s="1"/>
  <c r="B29" i="7"/>
  <c r="B25" i="7"/>
  <c r="B21" i="7"/>
  <c r="B32" i="7"/>
  <c r="B28" i="7"/>
  <c r="B24" i="7"/>
  <c r="B20" i="7"/>
  <c r="DS7" i="3"/>
  <c r="B19" i="7" s="1"/>
  <c r="B31" i="7"/>
  <c r="B27" i="7"/>
  <c r="B23" i="7"/>
  <c r="B30" i="7"/>
  <c r="B26" i="7"/>
  <c r="B22" i="7"/>
  <c r="B45" i="7"/>
  <c r="B41" i="7"/>
  <c r="B37" i="7"/>
  <c r="B44" i="7"/>
  <c r="B40" i="7"/>
  <c r="B36" i="7"/>
  <c r="B43" i="7"/>
  <c r="B39" i="7"/>
  <c r="B35" i="7"/>
  <c r="B46" i="7"/>
  <c r="B42" i="7"/>
  <c r="B38" i="7"/>
  <c r="B34" i="7"/>
  <c r="DS8" i="3"/>
  <c r="B33" i="7" s="1"/>
  <c r="B141" i="7"/>
  <c r="B137" i="7"/>
  <c r="B133" i="7"/>
  <c r="B144" i="7"/>
  <c r="B140" i="7"/>
  <c r="B136" i="7"/>
  <c r="B132" i="7"/>
  <c r="DS15" i="3"/>
  <c r="B131" i="7" s="1"/>
  <c r="B143" i="7"/>
  <c r="B139" i="7"/>
  <c r="B135" i="7"/>
  <c r="B142" i="7"/>
  <c r="B138" i="7"/>
  <c r="B134" i="7"/>
  <c r="B155" i="7"/>
  <c r="B151" i="7"/>
  <c r="B154" i="7"/>
  <c r="B149" i="7"/>
  <c r="B158" i="7"/>
  <c r="B153" i="7"/>
  <c r="B148" i="7"/>
  <c r="B157" i="7"/>
  <c r="B152" i="7"/>
  <c r="B147" i="7"/>
  <c r="B156" i="7"/>
  <c r="B150" i="7"/>
  <c r="B146" i="7"/>
  <c r="DS16" i="3"/>
  <c r="B145" i="7" s="1"/>
  <c r="B253" i="7"/>
  <c r="B249" i="7"/>
  <c r="B245" i="7"/>
  <c r="B255" i="7"/>
  <c r="B250" i="7"/>
  <c r="B244" i="7"/>
  <c r="B254" i="7"/>
  <c r="B247" i="7"/>
  <c r="B252" i="7"/>
  <c r="B246" i="7"/>
  <c r="DS23" i="3"/>
  <c r="B243" i="7" s="1"/>
  <c r="B251" i="7"/>
  <c r="B256" i="7"/>
  <c r="B248" i="7"/>
  <c r="B269" i="7"/>
  <c r="B265" i="7"/>
  <c r="B261" i="7"/>
  <c r="B266" i="7"/>
  <c r="B260" i="7"/>
  <c r="B268" i="7"/>
  <c r="B262" i="7"/>
  <c r="B267" i="7"/>
  <c r="B259" i="7"/>
  <c r="B264" i="7"/>
  <c r="B258" i="7"/>
  <c r="B270" i="7"/>
  <c r="B263" i="7"/>
  <c r="DS24" i="3"/>
  <c r="B257" i="7" s="1"/>
  <c r="B365" i="7"/>
  <c r="B361" i="7"/>
  <c r="B357" i="7"/>
  <c r="B366" i="7"/>
  <c r="B360" i="7"/>
  <c r="B368" i="7"/>
  <c r="B363" i="7"/>
  <c r="B358" i="7"/>
  <c r="B367" i="7"/>
  <c r="B362" i="7"/>
  <c r="B356" i="7"/>
  <c r="DS31" i="3"/>
  <c r="B355" i="7" s="1"/>
  <c r="B364" i="7"/>
  <c r="B359" i="7"/>
  <c r="B381" i="7"/>
  <c r="B377" i="7"/>
  <c r="B373" i="7"/>
  <c r="B382" i="7"/>
  <c r="B376" i="7"/>
  <c r="B371" i="7"/>
  <c r="B379" i="7"/>
  <c r="B374" i="7"/>
  <c r="B378" i="7"/>
  <c r="B372" i="7"/>
  <c r="B375" i="7"/>
  <c r="B370" i="7"/>
  <c r="B380" i="7"/>
  <c r="DS32" i="3"/>
  <c r="B369" i="7" s="1"/>
  <c r="B409" i="7"/>
  <c r="B405" i="7"/>
  <c r="B401" i="7"/>
  <c r="B408" i="7"/>
  <c r="B403" i="7"/>
  <c r="B398" i="7"/>
  <c r="B406" i="7"/>
  <c r="B400" i="7"/>
  <c r="B410" i="7"/>
  <c r="B404" i="7"/>
  <c r="B399" i="7"/>
  <c r="B407" i="7"/>
  <c r="B402" i="7"/>
  <c r="B57" i="7"/>
  <c r="B53" i="7"/>
  <c r="B49" i="7"/>
  <c r="B60" i="7"/>
  <c r="B56" i="7"/>
  <c r="B52" i="7"/>
  <c r="B48" i="7"/>
  <c r="DS9" i="3"/>
  <c r="B47" i="7" s="1"/>
  <c r="B59" i="7"/>
  <c r="B55" i="7"/>
  <c r="B51" i="7"/>
  <c r="B58" i="7"/>
  <c r="B54" i="7"/>
  <c r="B50" i="7"/>
  <c r="B73" i="7"/>
  <c r="B69" i="7"/>
  <c r="B65" i="7"/>
  <c r="B72" i="7"/>
  <c r="B68" i="7"/>
  <c r="B64" i="7"/>
  <c r="B71" i="7"/>
  <c r="B67" i="7"/>
  <c r="B63" i="7"/>
  <c r="B74" i="7"/>
  <c r="B70" i="7"/>
  <c r="B66" i="7"/>
  <c r="B62" i="7"/>
  <c r="DS10" i="3"/>
  <c r="B61" i="7" s="1"/>
  <c r="B171" i="7"/>
  <c r="B167" i="7"/>
  <c r="B163" i="7"/>
  <c r="B170" i="7"/>
  <c r="B165" i="7"/>
  <c r="B160" i="7"/>
  <c r="B169" i="7"/>
  <c r="B164" i="7"/>
  <c r="DS17" i="3"/>
  <c r="B159" i="7" s="1"/>
  <c r="B168" i="7"/>
  <c r="B162" i="7"/>
  <c r="B172" i="7"/>
  <c r="B166" i="7"/>
  <c r="B161" i="7"/>
  <c r="B183" i="7"/>
  <c r="B179" i="7"/>
  <c r="B175" i="7"/>
  <c r="B186" i="7"/>
  <c r="B181" i="7"/>
  <c r="B176" i="7"/>
  <c r="B185" i="7"/>
  <c r="B180" i="7"/>
  <c r="B174" i="7"/>
  <c r="B184" i="7"/>
  <c r="B178" i="7"/>
  <c r="B182" i="7"/>
  <c r="B177" i="7"/>
  <c r="DS18" i="3"/>
  <c r="B173" i="7" s="1"/>
  <c r="B281" i="7"/>
  <c r="B277" i="7"/>
  <c r="B273" i="7"/>
  <c r="B282" i="7"/>
  <c r="B276" i="7"/>
  <c r="B283" i="7"/>
  <c r="B275" i="7"/>
  <c r="B280" i="7"/>
  <c r="B274" i="7"/>
  <c r="DS25" i="3"/>
  <c r="B271" i="7" s="1"/>
  <c r="B279" i="7"/>
  <c r="B272" i="7"/>
  <c r="B284" i="7"/>
  <c r="B278" i="7"/>
  <c r="B297" i="7"/>
  <c r="B293" i="7"/>
  <c r="B289" i="7"/>
  <c r="B296" i="7"/>
  <c r="B291" i="7"/>
  <c r="B294" i="7"/>
  <c r="B298" i="7"/>
  <c r="B292" i="7"/>
  <c r="B287" i="7"/>
  <c r="B290" i="7"/>
  <c r="B288" i="7"/>
  <c r="B286" i="7"/>
  <c r="B295" i="7"/>
  <c r="DS26" i="3"/>
  <c r="B285" i="7" s="1"/>
  <c r="B393" i="7"/>
  <c r="B389" i="7"/>
  <c r="B385" i="7"/>
  <c r="B392" i="7"/>
  <c r="B387" i="7"/>
  <c r="B395" i="7"/>
  <c r="B390" i="7"/>
  <c r="B384" i="7"/>
  <c r="B394" i="7"/>
  <c r="B388" i="7"/>
  <c r="B396" i="7"/>
  <c r="B391" i="7"/>
  <c r="DS33" i="3"/>
  <c r="B383" i="7" s="1"/>
  <c r="B386" i="7"/>
  <c r="B17" i="7"/>
  <c r="B13" i="7"/>
  <c r="B9" i="7"/>
  <c r="B16" i="7"/>
  <c r="B12" i="7"/>
  <c r="B8" i="7"/>
  <c r="B15" i="7"/>
  <c r="B11" i="7"/>
  <c r="B7" i="7"/>
  <c r="B18" i="7"/>
  <c r="B14" i="7"/>
  <c r="B10" i="7"/>
  <c r="B6" i="7"/>
  <c r="B85" i="7"/>
  <c r="B81" i="7"/>
  <c r="B77" i="7"/>
  <c r="B88" i="7"/>
  <c r="B84" i="7"/>
  <c r="B80" i="7"/>
  <c r="B76" i="7"/>
  <c r="DS11" i="3"/>
  <c r="B75" i="7" s="1"/>
  <c r="B87" i="7"/>
  <c r="B83" i="7"/>
  <c r="B79" i="7"/>
  <c r="B86" i="7"/>
  <c r="B82" i="7"/>
  <c r="B78" i="7"/>
  <c r="B101" i="7"/>
  <c r="B97" i="7"/>
  <c r="B93" i="7"/>
  <c r="B100" i="7"/>
  <c r="B96" i="7"/>
  <c r="B92" i="7"/>
  <c r="B99" i="7"/>
  <c r="B95" i="7"/>
  <c r="B91" i="7"/>
  <c r="B102" i="7"/>
  <c r="B98" i="7"/>
  <c r="B94" i="7"/>
  <c r="B90" i="7"/>
  <c r="DS12" i="3"/>
  <c r="B89" i="7" s="1"/>
  <c r="B199" i="7"/>
  <c r="B195" i="7"/>
  <c r="B191" i="7"/>
  <c r="B197" i="7"/>
  <c r="B192" i="7"/>
  <c r="B196" i="7"/>
  <c r="B190" i="7"/>
  <c r="DS19" i="3"/>
  <c r="B187" i="7" s="1"/>
  <c r="B200" i="7"/>
  <c r="B194" i="7"/>
  <c r="B189" i="7"/>
  <c r="B198" i="7"/>
  <c r="B193" i="7"/>
  <c r="B188" i="7"/>
  <c r="B211" i="7"/>
  <c r="B207" i="7"/>
  <c r="B203" i="7"/>
  <c r="B213" i="7"/>
  <c r="B208" i="7"/>
  <c r="B202" i="7"/>
  <c r="B212" i="7"/>
  <c r="B206" i="7"/>
  <c r="B210" i="7"/>
  <c r="B205" i="7"/>
  <c r="B214" i="7"/>
  <c r="B209" i="7"/>
  <c r="B204" i="7"/>
  <c r="DS20" i="3"/>
  <c r="B201" i="7" s="1"/>
  <c r="B309" i="7"/>
  <c r="B305" i="7"/>
  <c r="B301" i="7"/>
  <c r="B312" i="7"/>
  <c r="B307" i="7"/>
  <c r="B302" i="7"/>
  <c r="B310" i="7"/>
  <c r="B304" i="7"/>
  <c r="B308" i="7"/>
  <c r="B303" i="7"/>
  <c r="B311" i="7"/>
  <c r="B306" i="7"/>
  <c r="DS27" i="3"/>
  <c r="B299" i="7" s="1"/>
  <c r="B300" i="7"/>
  <c r="B325" i="7"/>
  <c r="B321" i="7"/>
  <c r="B317" i="7"/>
  <c r="B323" i="7"/>
  <c r="B318" i="7"/>
  <c r="B326" i="7"/>
  <c r="B320" i="7"/>
  <c r="B315" i="7"/>
  <c r="B324" i="7"/>
  <c r="B319" i="7"/>
  <c r="B314" i="7"/>
  <c r="B322" i="7"/>
  <c r="B316" i="7"/>
  <c r="DS28" i="3"/>
  <c r="B313" i="7" s="1"/>
  <c r="B521" i="7"/>
  <c r="B517" i="7"/>
  <c r="B513" i="7"/>
  <c r="B520" i="7"/>
  <c r="B515" i="7"/>
  <c r="B510" i="7"/>
  <c r="B519" i="7"/>
  <c r="B514" i="7"/>
  <c r="B518" i="7"/>
  <c r="B512" i="7"/>
  <c r="B522" i="7"/>
  <c r="B516" i="7"/>
  <c r="B511" i="7"/>
  <c r="DS42" i="3"/>
  <c r="B509" i="7" s="1"/>
  <c r="DS6" i="3"/>
  <c r="B5" i="7" s="1"/>
  <c r="B113" i="7"/>
  <c r="B109" i="7"/>
  <c r="B105" i="7"/>
  <c r="B116" i="7"/>
  <c r="B112" i="7"/>
  <c r="B108" i="7"/>
  <c r="B104" i="7"/>
  <c r="DS13" i="3"/>
  <c r="B103" i="7" s="1"/>
  <c r="B115" i="7"/>
  <c r="B111" i="7"/>
  <c r="B107" i="7"/>
  <c r="B114" i="7"/>
  <c r="B110" i="7"/>
  <c r="B106" i="7"/>
  <c r="B129" i="7"/>
  <c r="B125" i="7"/>
  <c r="B121" i="7"/>
  <c r="B128" i="7"/>
  <c r="B124" i="7"/>
  <c r="B120" i="7"/>
  <c r="B127" i="7"/>
  <c r="B123" i="7"/>
  <c r="B119" i="7"/>
  <c r="B130" i="7"/>
  <c r="B126" i="7"/>
  <c r="B122" i="7"/>
  <c r="B118" i="7"/>
  <c r="DS14" i="3"/>
  <c r="B117" i="7" s="1"/>
  <c r="B227" i="7"/>
  <c r="B223" i="7"/>
  <c r="B219" i="7"/>
  <c r="B224" i="7"/>
  <c r="B218" i="7"/>
  <c r="B228" i="7"/>
  <c r="B222" i="7"/>
  <c r="B217" i="7"/>
  <c r="DS21" i="3"/>
  <c r="B215" i="7" s="1"/>
  <c r="B226" i="7"/>
  <c r="B221" i="7"/>
  <c r="B216" i="7"/>
  <c r="B225" i="7"/>
  <c r="B220" i="7"/>
  <c r="B241" i="7"/>
  <c r="B239" i="7"/>
  <c r="B235" i="7"/>
  <c r="B231" i="7"/>
  <c r="B240" i="7"/>
  <c r="B234" i="7"/>
  <c r="B238" i="7"/>
  <c r="B233" i="7"/>
  <c r="B237" i="7"/>
  <c r="B232" i="7"/>
  <c r="B242" i="7"/>
  <c r="B236" i="7"/>
  <c r="B230" i="7"/>
  <c r="DS22" i="3"/>
  <c r="B229" i="7" s="1"/>
  <c r="B337" i="7"/>
  <c r="B333" i="7"/>
  <c r="B329" i="7"/>
  <c r="B339" i="7"/>
  <c r="B334" i="7"/>
  <c r="B328" i="7"/>
  <c r="B336" i="7"/>
  <c r="B331" i="7"/>
  <c r="B340" i="7"/>
  <c r="B335" i="7"/>
  <c r="B330" i="7"/>
  <c r="B332" i="7"/>
  <c r="DS29" i="3"/>
  <c r="B327" i="7" s="1"/>
  <c r="B338" i="7"/>
  <c r="B353" i="7"/>
  <c r="B349" i="7"/>
  <c r="B345" i="7"/>
  <c r="B350" i="7"/>
  <c r="B344" i="7"/>
  <c r="B352" i="7"/>
  <c r="B347" i="7"/>
  <c r="B342" i="7"/>
  <c r="B351" i="7"/>
  <c r="B346" i="7"/>
  <c r="B354" i="7"/>
  <c r="B348" i="7"/>
  <c r="B343" i="7"/>
  <c r="DS30" i="3"/>
  <c r="B341" i="7" s="1"/>
  <c r="DS34" i="3"/>
  <c r="B397" i="7" s="1"/>
  <c r="B437" i="7"/>
  <c r="B433" i="7"/>
  <c r="B429" i="7"/>
  <c r="B435" i="7"/>
  <c r="B430" i="7"/>
  <c r="B438" i="7"/>
  <c r="B432" i="7"/>
  <c r="B427" i="7"/>
  <c r="B436" i="7"/>
  <c r="B431" i="7"/>
  <c r="B426" i="7"/>
  <c r="B434" i="7"/>
  <c r="B428" i="7"/>
  <c r="DS36" i="3"/>
  <c r="B425" i="7" s="1"/>
  <c r="B549" i="7"/>
  <c r="B545" i="7"/>
  <c r="B541" i="7"/>
  <c r="B547" i="7"/>
  <c r="B542" i="7"/>
  <c r="B546" i="7"/>
  <c r="B540" i="7"/>
  <c r="B550" i="7"/>
  <c r="B544" i="7"/>
  <c r="B539" i="7"/>
  <c r="B548" i="7"/>
  <c r="B543" i="7"/>
  <c r="B538" i="7"/>
  <c r="DS44" i="3"/>
  <c r="B537" i="7" s="1"/>
  <c r="B421" i="7"/>
  <c r="B417" i="7"/>
  <c r="B413" i="7"/>
  <c r="B424" i="7"/>
  <c r="B419" i="7"/>
  <c r="B414" i="7"/>
  <c r="B422" i="7"/>
  <c r="B416" i="7"/>
  <c r="B420" i="7"/>
  <c r="B415" i="7"/>
  <c r="B449" i="7"/>
  <c r="B445" i="7"/>
  <c r="B441" i="7"/>
  <c r="B451" i="7"/>
  <c r="B446" i="7"/>
  <c r="B440" i="7"/>
  <c r="B448" i="7"/>
  <c r="B443" i="7"/>
  <c r="B452" i="7"/>
  <c r="B447" i="7"/>
  <c r="B442" i="7"/>
  <c r="B477" i="7"/>
  <c r="B473" i="7"/>
  <c r="B469" i="7"/>
  <c r="B478" i="7"/>
  <c r="B472" i="7"/>
  <c r="B476" i="7"/>
  <c r="B471" i="7"/>
  <c r="B480" i="7"/>
  <c r="B475" i="7"/>
  <c r="B470" i="7"/>
  <c r="B479" i="7"/>
  <c r="B474" i="7"/>
  <c r="B468" i="7"/>
  <c r="B505" i="7"/>
  <c r="B501" i="7"/>
  <c r="B497" i="7"/>
  <c r="B504" i="7"/>
  <c r="B499" i="7"/>
  <c r="B508" i="7"/>
  <c r="B503" i="7"/>
  <c r="B498" i="7"/>
  <c r="B507" i="7"/>
  <c r="B502" i="7"/>
  <c r="B496" i="7"/>
  <c r="B506" i="7"/>
  <c r="B500" i="7"/>
  <c r="B533" i="7"/>
  <c r="B529" i="7"/>
  <c r="B525" i="7"/>
  <c r="B536" i="7"/>
  <c r="B531" i="7"/>
  <c r="B526" i="7"/>
  <c r="B535" i="7"/>
  <c r="B530" i="7"/>
  <c r="B524" i="7"/>
  <c r="B534" i="7"/>
  <c r="B528" i="7"/>
  <c r="B532" i="7"/>
  <c r="B527" i="7"/>
  <c r="B561" i="7"/>
  <c r="B557" i="7"/>
  <c r="B553" i="7"/>
  <c r="B563" i="7"/>
  <c r="B558" i="7"/>
  <c r="B552" i="7"/>
  <c r="B562" i="7"/>
  <c r="B556" i="7"/>
  <c r="B560" i="7"/>
  <c r="B555" i="7"/>
  <c r="B564" i="7"/>
  <c r="B559" i="7"/>
  <c r="B554" i="7"/>
  <c r="B450" i="7"/>
  <c r="DS35" i="3"/>
  <c r="B411" i="7" s="1"/>
  <c r="DS37" i="3"/>
  <c r="B439" i="7" s="1"/>
  <c r="DS39" i="3"/>
  <c r="B467" i="7" s="1"/>
  <c r="DS41" i="3"/>
  <c r="B495" i="7" s="1"/>
  <c r="DS43" i="3"/>
  <c r="B523" i="7" s="1"/>
  <c r="DS45" i="3"/>
  <c r="B551" i="7" s="1"/>
  <c r="B412" i="7"/>
  <c r="B418" i="7"/>
</calcChain>
</file>

<file path=xl/sharedStrings.xml><?xml version="1.0" encoding="utf-8"?>
<sst xmlns="http://schemas.openxmlformats.org/spreadsheetml/2006/main" count="2596" uniqueCount="1211">
  <si>
    <t>CKYC Bulk Upload Utility – New Individual Customer(s)</t>
  </si>
  <si>
    <t>WHAT THIS WORKBOOK DOES</t>
  </si>
  <si>
    <t>This workbook is a data-entry utility for building a CKYC-format Bulk Upload file (per Bulk File Structure V1.3) for NEW customers.</t>
  </si>
  <si>
    <t>It is pre-configured for INDIVIDUAL applicants, Application Type = 01 (New). Fields that are 'Not applicable' for a new upload</t>
  </si>
  <si>
    <t>(update flags, download-response counters, deceased fields, CKYC reference no.) are locked / auto-blanked for you.</t>
  </si>
  <si>
    <t>SHEETS IN THIS WORKBOOK</t>
  </si>
  <si>
    <t xml:space="preserve">  1. Header (10)        - one row, the file-level header record for the whole batch.</t>
  </si>
  <si>
    <t xml:space="preserve">  2. Applicant (20)      - one row PER CUSTOMER. This is the main data-entry sheet.</t>
  </si>
  <si>
    <t xml:space="preserve">  3. Identity (30)       - one row per ID proof for a customer (PAN, Aadhaar, etc). Link via 'Applicant Line No'.</t>
  </si>
  <si>
    <t xml:space="preserve">  4. Related Person (40) - one row per related person (guardian/nominee/director etc). Link via 'Applicant Line No'.</t>
  </si>
  <si>
    <t xml:space="preserve">  5. Images (70)         - one row per scanned image filed for a customer. Link via 'Applicant Line No'.</t>
  </si>
  <si>
    <t xml:space="preserve">  6. Masters             - reference lists (also feed the dropdowns). Do not edit.</t>
  </si>
  <si>
    <t xml:space="preserve">  7. Build Text File     - shows the exact pipe-delimited output lines, in the correct order, ready to paste into Notepad.</t>
  </si>
  <si>
    <t>HOW TO USE</t>
  </si>
  <si>
    <t xml:space="preserve">  Step 1: Fill the Header (10) sheet once for the whole batch (FI code, region/branch, batch no, business date).</t>
  </si>
  <si>
    <t xml:space="preserve">  Step 2: On Applicant (20), add one row per new customer. The 'Line No' column (col B) numbers them 1, 2, 3... automatically.</t>
  </si>
  <si>
    <t xml:space="preserve">          Yellow cells are for you to fill in. Grey cells are system-derived - leave them as they are.</t>
  </si>
  <si>
    <t xml:space="preserve">          Use the drop-downs (State, Country, Constitution Type, Proof of Address, Gender etc.) wherever offered.</t>
  </si>
  <si>
    <t xml:space="preserve">  Step 3: On Identity (30) / Related Person (40) / Images (70), add one row per record, and in 'Applicant Line No' put the</t>
  </si>
  <si>
    <t xml:space="preserve">          SAME Line No used for that customer on the Applicant (20) sheet. You may add several rows per customer.</t>
  </si>
  <si>
    <t xml:space="preserve">  Step 4: Open 'Build Text File'. It lists, in file order, the Header line, then for each customer its 20 line followed by</t>
  </si>
  <si>
    <t xml:space="preserve">          all its 30 / 40 / 70 lines. Copy column A (top to bottom, skipping any blank rows) into Notepad and save as .txt</t>
  </si>
  <si>
    <t xml:space="preserve">          using the file naming convention below.</t>
  </si>
  <si>
    <t>FILE NAMING CONVENTION (from Bulk File Structure V1.3)</t>
  </si>
  <si>
    <t xml:space="preserve">  FICODE_REGIONCODE-or-BRANCHCODE_DDMMYYYY_VersionNo_USERID_Unnnnn</t>
  </si>
  <si>
    <t xml:space="preserve">  Example (from the reference file supplied): IN6488_REGION13_10092025_V1.3_IA011664_U10087</t>
  </si>
  <si>
    <t xml:space="preserve">    U = Upload file, nnnnn = running batch sequence number starting 00001, save with extension .txt</t>
  </si>
  <si>
    <t>NOTES</t>
  </si>
  <si>
    <t xml:space="preserve">  - Save the finished .txt as plain ANSI/UTF-8 text, pipe ( | ) delimited, no header row of column names, one record per line.</t>
  </si>
  <si>
    <t xml:space="preserve">  - Detail record order inside the file must be: 10 (once), then per customer: 20, 30 (one or more), 40 (if any), 70 (one or more).</t>
  </si>
  <si>
    <t xml:space="preserve">  - This workbook does not submit the file anywhere - it only prepares the text file for you to upload via the CKYC portal.</t>
  </si>
  <si>
    <t xml:space="preserve">  - A worked example, reproduced from the sample .txt file you supplied (IN6488_REGION13_10092025...), is pre-filled in row 5</t>
  </si>
  <si>
    <t xml:space="preserve">    of the Applicant/Identity/Related Person/Images sheets so you can see the expected format. Delete or overwrite it before</t>
  </si>
  <si>
    <t xml:space="preserve">    entering real data.</t>
  </si>
  <si>
    <t>Detail Record 10 - File Header (fill once per batch)</t>
  </si>
  <si>
    <t>Sr.no</t>
  </si>
  <si>
    <t>Field (per Bulk File Structure V1.3)</t>
  </si>
  <si>
    <t>Value</t>
  </si>
  <si>
    <t>Format / Size</t>
  </si>
  <si>
    <t>Remarks</t>
  </si>
  <si>
    <t>Record Type</t>
  </si>
  <si>
    <t>10</t>
  </si>
  <si>
    <t>Number (2) [M]</t>
  </si>
  <si>
    <t>'10' (Header)</t>
  </si>
  <si>
    <t>Batch Number</t>
  </si>
  <si>
    <t>Number (5) [M]</t>
  </si>
  <si>
    <t>FI Code</t>
  </si>
  <si>
    <t>IN6488</t>
  </si>
  <si>
    <t>Varchar (7) [M]</t>
  </si>
  <si>
    <t>Special Characters not allowed</t>
  </si>
  <si>
    <t>Region Code</t>
  </si>
  <si>
    <t>REGION13</t>
  </si>
  <si>
    <t>Varchar (10) [M]</t>
  </si>
  <si>
    <t>Total No of Detail Records</t>
  </si>
  <si>
    <t>Number (7) [M]</t>
  </si>
  <si>
    <t>Create Date</t>
  </si>
  <si>
    <t>Date  (10) [M]</t>
  </si>
  <si>
    <t>DD-MM-YYYY</t>
  </si>
  <si>
    <t>Version Number</t>
  </si>
  <si>
    <t>V1.3</t>
  </si>
  <si>
    <t>Varchar (4) [M]</t>
  </si>
  <si>
    <t>CUST Type</t>
  </si>
  <si>
    <t>01</t>
  </si>
  <si>
    <t>01- Individual
02 - Legal Entity</t>
  </si>
  <si>
    <t>Filler2</t>
  </si>
  <si>
    <t>Character (50) [O]</t>
  </si>
  <si>
    <t>Filler3</t>
  </si>
  <si>
    <t>Filler4</t>
  </si>
  <si>
    <t>Pipe line:</t>
  </si>
  <si>
    <t>Upload file name to use:</t>
  </si>
  <si>
    <t>(replace &lt;YOUR USERID&gt; with your actual CKYC portal user ID before saving)</t>
  </si>
  <si>
    <t>Detail Record 20 - Applicant / New Individual Customer  (one row per customer)</t>
  </si>
  <si>
    <t>Key</t>
  </si>
  <si>
    <t>System Use</t>
  </si>
  <si>
    <t>Updation Module</t>
  </si>
  <si>
    <t>Download response</t>
  </si>
  <si>
    <t>Personal/Entity Details</t>
  </si>
  <si>
    <t>Applicant Name Update</t>
  </si>
  <si>
    <t>Blank field</t>
  </si>
  <si>
    <t>Other Details/Deceased information</t>
  </si>
  <si>
    <t>Address Details</t>
  </si>
  <si>
    <t>Contact Details</t>
  </si>
  <si>
    <t>KYC Verification</t>
  </si>
  <si>
    <t>Identity Details</t>
  </si>
  <si>
    <t xml:space="preserve">Related Person Details </t>
  </si>
  <si>
    <t>Image Details</t>
  </si>
  <si>
    <t>Line No</t>
  </si>
  <si>
    <t>1. Record Type</t>
  </si>
  <si>
    <t>2. Line Number</t>
  </si>
  <si>
    <t>3. Application Type</t>
  </si>
  <si>
    <t>4. Branch Code</t>
  </si>
  <si>
    <t>5. Applicant/Entity Name Update Flag</t>
  </si>
  <si>
    <t>6. Personal/Entity Details Update Flag</t>
  </si>
  <si>
    <t>7. Address Details Update Flag</t>
  </si>
  <si>
    <t>8. Contact Details Update Flag</t>
  </si>
  <si>
    <t>9. Other Details/Deceased information</t>
  </si>
  <si>
    <t>10. KYC Verification Update Flag</t>
  </si>
  <si>
    <t>11. Identity Details Update Flag</t>
  </si>
  <si>
    <t>12. Related Person Details  Update Flag</t>
  </si>
  <si>
    <t>13. Count of download of the CKYC record in the last 5 years by various reporting entities</t>
  </si>
  <si>
    <t>14. Image Details Update Flag</t>
  </si>
  <si>
    <t>15. Constitution Type</t>
  </si>
  <si>
    <t>16. Constitution Type others</t>
  </si>
  <si>
    <t>17. Count of update of the CKYC record in the last 5 years by various reporting entities</t>
  </si>
  <si>
    <t>18. Account type</t>
  </si>
  <si>
    <t>19. CKYC no / FI reference No</t>
  </si>
  <si>
    <t>20. Applicant Name Prefix</t>
  </si>
  <si>
    <t>21. Applicant First Name</t>
  </si>
  <si>
    <t>22. Applicant  Middle Name</t>
  </si>
  <si>
    <t>23. Applicant Last Name</t>
  </si>
  <si>
    <t>24. Name of the Entity</t>
  </si>
  <si>
    <t>25. Applicant Maiden Name Prefix</t>
  </si>
  <si>
    <t>26. Applicant Maiden First Name</t>
  </si>
  <si>
    <t>27. Applicant Maiden Middle Name</t>
  </si>
  <si>
    <t>28. Applicant Maiden Last Name</t>
  </si>
  <si>
    <t>29. Applicant Maiden Full Name</t>
  </si>
  <si>
    <t>30. Flag indicating Father or Spouse Name</t>
  </si>
  <si>
    <t>31. Applicant Father/Spouse Name Prefix</t>
  </si>
  <si>
    <t>32. Father / Spouse First Name</t>
  </si>
  <si>
    <t>33. Father / Spouse Middle Name</t>
  </si>
  <si>
    <t>34. Father / Spouse Last Name</t>
  </si>
  <si>
    <t>35. Father / Spouse Full Name</t>
  </si>
  <si>
    <t>36. Applicant Mother Name Prefix</t>
  </si>
  <si>
    <t>37. Mother's First Name</t>
  </si>
  <si>
    <t>38. Mother's Middle Name</t>
  </si>
  <si>
    <t>39. Mother's Last Name</t>
  </si>
  <si>
    <t>40. Mother's Full Name</t>
  </si>
  <si>
    <t>41. Gender</t>
  </si>
  <si>
    <t>42. Marital status</t>
  </si>
  <si>
    <t>43. Nationality</t>
  </si>
  <si>
    <t>44. Occupation Type</t>
  </si>
  <si>
    <t>45. Date of Birth/ Date of Incorporation</t>
  </si>
  <si>
    <t>46. Place of Incorporation</t>
  </si>
  <si>
    <t>47. Date of Commencement of business</t>
  </si>
  <si>
    <t>48. Country of Incorporation</t>
  </si>
  <si>
    <t>49. Country of residence as per Tax Laws</t>
  </si>
  <si>
    <t>50. Deceased date</t>
  </si>
  <si>
    <t>51. TIN/GST Registration number</t>
  </si>
  <si>
    <t>52. TIN Issuing Country</t>
  </si>
  <si>
    <t>53. PAN or form 60</t>
  </si>
  <si>
    <t>54. Residential Status</t>
  </si>
  <si>
    <t>55. Differently Abled status Flag</t>
  </si>
  <si>
    <t>56. Type of impairment</t>
  </si>
  <si>
    <t>57. Percentage of impairment</t>
  </si>
  <si>
    <t>58. UDID number</t>
  </si>
  <si>
    <t>59. City/Place of Birth</t>
  </si>
  <si>
    <t>60. Current/ Permanent/ Overseas Address   Type</t>
  </si>
  <si>
    <t>61. Individual Record: Proof of Identity and Address  Line 1
Legal Entity: Registered Address Line 1</t>
  </si>
  <si>
    <t>62. Individual Record: Proof of Identity and Address  Line 2
Legal Entity: Registered Address Line 2</t>
  </si>
  <si>
    <t>63. Individual Record: Proof of Identity and Address  Line 3
Legal Entity: Registered Address Line 3</t>
  </si>
  <si>
    <t>64. Individual Record: Proof of Identity and Address -  City / Town / Village
Legal Entity: Registered Address City/Town/Village</t>
  </si>
  <si>
    <t>65. Individual Record: Proof of Identity and Address -  District
Legal Entity: Registered Address District</t>
  </si>
  <si>
    <t>66. Individual Record: Proof of Identity and Address - State/ U.T
Legal Entity: Registered Address State/UT</t>
  </si>
  <si>
    <t>67. Individual Record: Proof of Identity and Address  - Country
Legal Entity: Registered Address Country</t>
  </si>
  <si>
    <t>68. Individual Record: Proof of Identity and Address -  PIN Code
Legal Entity: Registered Address Pincode</t>
  </si>
  <si>
    <t>69. Individual Record: Proof of Address submitted for Proof of Identity and Address
Legal Entity: Proof submitted for Registered Address</t>
  </si>
  <si>
    <t>70. Legal Entity: Proof of Address submitted for  Registered Address (Others)</t>
  </si>
  <si>
    <t>71. Individual Record: Flag indicating if Proof of Identity and Address is same as current Address
Legal Entity: Flag indicating if Registered Address is same as Local Address in India</t>
  </si>
  <si>
    <t>72. Correspondence/ Local Address Type</t>
  </si>
  <si>
    <t>73. Individual Record:Current Address Line 1
Legal Entity: Local Address Line 1</t>
  </si>
  <si>
    <t>74. Individual Record:Current Address Line 2
Legal Entity: Local Address Line 2</t>
  </si>
  <si>
    <t>75. Individual Record:Current Address Line 3
Legal Entity: Local Address Line 3</t>
  </si>
  <si>
    <t>76. Individual Record:Current Address -  City / Town / Village
Legal Entity: Local Address City/Town/Village</t>
  </si>
  <si>
    <t>77. Individual Record:Current Address -  District
Legal Entity: Local Address Ditrict</t>
  </si>
  <si>
    <t>78. Individual Record:Current Address - State
Legal Entity: Local Address State</t>
  </si>
  <si>
    <t>79. Individual Record:Current Address - Country
Legal Entity: Local Address Country</t>
  </si>
  <si>
    <t>80. Individual Record:Current Address -  PIN Code
Legal Entity: Local Address Pin code</t>
  </si>
  <si>
    <t>81. Individual Record: Proof of address submitted for Current Address</t>
  </si>
  <si>
    <t>82. Flag indicating if address in jurisdiction where application is resident is same as Current/ Permanent/ Overseas or Correspondence/ Local address details</t>
  </si>
  <si>
    <t>83. Address in Jurisdiction Type</t>
  </si>
  <si>
    <t>84. Address in Jurisdiction Line 1</t>
  </si>
  <si>
    <t>85. Address in Jurisdiction Line 2</t>
  </si>
  <si>
    <t>86. Address in Jurisdiction Line 3</t>
  </si>
  <si>
    <t>87. Address in Jurisdiction -  City / Town / Village</t>
  </si>
  <si>
    <t>88. Address in Jurisdiction - State</t>
  </si>
  <si>
    <t>89. Address in Jurisdiction - Country</t>
  </si>
  <si>
    <t>90. Address in Jurisdiction -  ZIP/Post Code</t>
  </si>
  <si>
    <t>91. Proof of Address submitted for Address in Jurisdiction</t>
  </si>
  <si>
    <t>92. Residence Telephone No. (STD Code)</t>
  </si>
  <si>
    <t>93. Residence Telephone No.</t>
  </si>
  <si>
    <t>94. Office Telephone No. (STD Code)</t>
  </si>
  <si>
    <t>95. Office Telephone No.</t>
  </si>
  <si>
    <t>96. Mobile No. (ISD Code)</t>
  </si>
  <si>
    <t>97. Mobile No.</t>
  </si>
  <si>
    <t>98. Fax No. (STD Code)</t>
  </si>
  <si>
    <t>99. Fax No.</t>
  </si>
  <si>
    <t>100. Email ID</t>
  </si>
  <si>
    <t>101. Remarks, if any</t>
  </si>
  <si>
    <t>102. Date of Declaration</t>
  </si>
  <si>
    <t>103. Place of Declaration</t>
  </si>
  <si>
    <t>104. KYC Verification Date</t>
  </si>
  <si>
    <t>105. Type of Document Submitted</t>
  </si>
  <si>
    <t>106. KYC Verification Name</t>
  </si>
  <si>
    <t>107. KYC Verification Designation</t>
  </si>
  <si>
    <t>108. KYC Verification Branch</t>
  </si>
  <si>
    <t>109. KYC Verification EMP code</t>
  </si>
  <si>
    <t>110. Organisation Name</t>
  </si>
  <si>
    <t>111. Organisation Code</t>
  </si>
  <si>
    <t>112. Number of Identity Details</t>
  </si>
  <si>
    <t>113. Number of related people</t>
  </si>
  <si>
    <t>114. Identity Verification Flag</t>
  </si>
  <si>
    <t>115. Deceased Flag</t>
  </si>
  <si>
    <t>116. Number of Images</t>
  </si>
  <si>
    <t>117. Error Code</t>
  </si>
  <si>
    <t>118. Mobile No. 2 (ISD Code)</t>
  </si>
  <si>
    <t>119. Mobile No. 2</t>
  </si>
  <si>
    <t>120. Email ID 2</t>
  </si>
  <si>
    <t>121. CKYC Reference ID</t>
  </si>
  <si>
    <t>(helper) Pipe line</t>
  </si>
  <si>
    <t>M</t>
  </si>
  <si>
    <t>M/O</t>
  </si>
  <si>
    <t>O</t>
  </si>
  <si>
    <t>NA</t>
  </si>
  <si>
    <t>Number 2</t>
  </si>
  <si>
    <t>Number 5</t>
  </si>
  <si>
    <t>Number 10</t>
  </si>
  <si>
    <t>Number 20</t>
  </si>
  <si>
    <t>Varchar 2</t>
  </si>
  <si>
    <t>Varchar 20</t>
  </si>
  <si>
    <t>Varchar 14</t>
  </si>
  <si>
    <t>Character 5</t>
  </si>
  <si>
    <t>Character 50</t>
  </si>
  <si>
    <t>Character 150</t>
  </si>
  <si>
    <t>Character 1</t>
  </si>
  <si>
    <t>Date 10</t>
  </si>
  <si>
    <t>Character 2</t>
  </si>
  <si>
    <t>Varchar 10</t>
  </si>
  <si>
    <t>Boolean 1</t>
  </si>
  <si>
    <t>Number</t>
  </si>
  <si>
    <t>Number 3</t>
  </si>
  <si>
    <t>Varchar 18</t>
  </si>
  <si>
    <t>Character 55</t>
  </si>
  <si>
    <t>Varchar 50</t>
  </si>
  <si>
    <t>Character 10</t>
  </si>
  <si>
    <t>Character 3</t>
  </si>
  <si>
    <t>Character 75</t>
  </si>
  <si>
    <t>Varchar 55</t>
  </si>
  <si>
    <t>Number 4</t>
  </si>
  <si>
    <t>Varchar 100</t>
  </si>
  <si>
    <t>Character 300</t>
  </si>
  <si>
    <t>Character 7</t>
  </si>
  <si>
    <t>Number 1</t>
  </si>
  <si>
    <t>Varchar 870</t>
  </si>
  <si>
    <t>20</t>
  </si>
  <si>
    <t>1</t>
  </si>
  <si>
    <t>BRANCH13</t>
  </si>
  <si>
    <t>11</t>
  </si>
  <si>
    <t>40037412143945</t>
  </si>
  <si>
    <t>FIO</t>
  </si>
  <si>
    <t>lego</t>
  </si>
  <si>
    <t>ihfs</t>
  </si>
  <si>
    <t>khda</t>
  </si>
  <si>
    <t>ikuhe</t>
  </si>
  <si>
    <t>ukf</t>
  </si>
  <si>
    <t>keu</t>
  </si>
  <si>
    <t>kd</t>
  </si>
  <si>
    <t>15-07-1982</t>
  </si>
  <si>
    <t>FORM60</t>
  </si>
  <si>
    <t>34</t>
  </si>
  <si>
    <t>AB1234567891234567</t>
  </si>
  <si>
    <t>uiahuh</t>
  </si>
  <si>
    <t>usfwf</t>
  </si>
  <si>
    <t>afea</t>
  </si>
  <si>
    <t>Coimbatore</t>
  </si>
  <si>
    <t>TN</t>
  </si>
  <si>
    <t>IN</t>
  </si>
  <si>
    <t>641004</t>
  </si>
  <si>
    <t>02</t>
  </si>
  <si>
    <t>Y</t>
  </si>
  <si>
    <t>uiahfiewufweiuh</t>
  </si>
  <si>
    <t>usdahfiefwf</t>
  </si>
  <si>
    <t>awefwfea</t>
  </si>
  <si>
    <t>7709047001</t>
  </si>
  <si>
    <t>sameer.dalal@ltimindtree.com</t>
  </si>
  <si>
    <t>01-08-2024</t>
  </si>
  <si>
    <t>awefweawe</t>
  </si>
  <si>
    <t>waefwefwaa</t>
  </si>
  <si>
    <t>sadfasd</t>
  </si>
  <si>
    <t>fawefawef</t>
  </si>
  <si>
    <t>sdfewa</t>
  </si>
  <si>
    <t>FI Testing</t>
  </si>
  <si>
    <t>2</t>
  </si>
  <si>
    <t>Detail Record 30 - Identity / ID Proof  (one row per ID document; repeat Applicant Line No for more than one ID)</t>
  </si>
  <si>
    <t>2. Line Number  [= Applicant Line No]</t>
  </si>
  <si>
    <t>3. Identification type</t>
  </si>
  <si>
    <t>4. Identity Number</t>
  </si>
  <si>
    <t>5. Other Identity description</t>
  </si>
  <si>
    <t>6. Expiry Date</t>
  </si>
  <si>
    <t>7. Identity Proof Submitted</t>
  </si>
  <si>
    <t>8. Identity Verification status</t>
  </si>
  <si>
    <t>9. Filler - 1</t>
  </si>
  <si>
    <t>10. Filler - 2</t>
  </si>
  <si>
    <t>11. Filler - 3</t>
  </si>
  <si>
    <t>12. Filler - 4</t>
  </si>
  <si>
    <t>(helper) Occurrence</t>
  </si>
  <si>
    <t>(helper) Key</t>
  </si>
  <si>
    <t>Varchar 3</t>
  </si>
  <si>
    <t>As per Identity Code master As per Identity Code master</t>
  </si>
  <si>
    <t>Varchar</t>
  </si>
  <si>
    <t>Yes / No 2</t>
  </si>
  <si>
    <t>30</t>
  </si>
  <si>
    <t>A</t>
  </si>
  <si>
    <t>T134erYSTIN</t>
  </si>
  <si>
    <t>Detail Record 40 - Related Person (guardian / nominee / director etc.)  - one row per related person</t>
  </si>
  <si>
    <t>Related Person Details</t>
  </si>
  <si>
    <t xml:space="preserve">Remarks </t>
  </si>
  <si>
    <t>3. Type of Relationship</t>
  </si>
  <si>
    <t>4. Addition / Deletion of Related Person</t>
  </si>
  <si>
    <t>5. KYC Number of Related Person</t>
  </si>
  <si>
    <t>6. Related Person Name Prefix</t>
  </si>
  <si>
    <t>7. Related Person First Name</t>
  </si>
  <si>
    <t>8. Related Person  Middle Name</t>
  </si>
  <si>
    <t>9. Related Person Last Name</t>
  </si>
  <si>
    <t>10. Related Person Maiden Name Prefix</t>
  </si>
  <si>
    <t>11. Related Person Maiden First Name</t>
  </si>
  <si>
    <t>12. Related Person Maiden Middle Name</t>
  </si>
  <si>
    <t>13. Related Person Maiden Last Name</t>
  </si>
  <si>
    <t>14. Flag indicating Reated person  Father or Spouse Name</t>
  </si>
  <si>
    <t>15. Related Person Father/Spouse Name Prefix</t>
  </si>
  <si>
    <t>16. Related Person Father / Spouse First Name</t>
  </si>
  <si>
    <t>17. Related Person Father / Spouse Middle Name</t>
  </si>
  <si>
    <t>18. Reated person Father / Spouse Last Name</t>
  </si>
  <si>
    <t>19. Related Person Mother Name Prefix</t>
  </si>
  <si>
    <t>20. Related Person Mother's First Name</t>
  </si>
  <si>
    <t>21. Related Person Mother's Middle Name</t>
  </si>
  <si>
    <t>22. Related Person Mother's Last Name</t>
  </si>
  <si>
    <t>23. Date of Birth</t>
  </si>
  <si>
    <t>24. Gender</t>
  </si>
  <si>
    <t>25. Maritial Status</t>
  </si>
  <si>
    <t>26. Nationality</t>
  </si>
  <si>
    <t>27. Residential Status</t>
  </si>
  <si>
    <t>28. Differently Abled status Flag</t>
  </si>
  <si>
    <t>29. Type of impairment</t>
  </si>
  <si>
    <t>30. Percentage of impairment</t>
  </si>
  <si>
    <t>31. UDID number</t>
  </si>
  <si>
    <t>32. Country of birth</t>
  </si>
  <si>
    <t>33. City/Place of Birth</t>
  </si>
  <si>
    <t>34. PAN/Form 60</t>
  </si>
  <si>
    <t>35. Proof of possession of Aadhaar</t>
  </si>
  <si>
    <t>36. Voter ID Card</t>
  </si>
  <si>
    <t>37. NREGA Job Card</t>
  </si>
  <si>
    <t>38. Passport No</t>
  </si>
  <si>
    <t>39. Documents issued by Government departments of foreign jurisdictions and letter issued by Foreign Embassy or Mission in India
API tag:  &lt;FOREIGN_NATIONAL_ID&gt;</t>
  </si>
  <si>
    <t>40. Driving Licence No</t>
  </si>
  <si>
    <t>41. National Population register letter</t>
  </si>
  <si>
    <t>42. E-KYC Authentication</t>
  </si>
  <si>
    <t>43. Offline verification of Aadhaar</t>
  </si>
  <si>
    <t>44. Image name in the folder  fo r Photograph</t>
  </si>
  <si>
    <t>45. Image name in the folder  fo r Proof submitted for Proof of Identity and Address</t>
  </si>
  <si>
    <t>46. Image name in the folder  fo r Proof submitted for Current Address</t>
  </si>
  <si>
    <t>47. Proof of Identity and Address  Line 1</t>
  </si>
  <si>
    <t>48. Proof of Identity and Address  Line 2</t>
  </si>
  <si>
    <t>49. Proof of Identity and Address  Line 3</t>
  </si>
  <si>
    <t>50. Proof of Identity and Address -  City / Town / Village</t>
  </si>
  <si>
    <t>51. Proof of Identity and Address -  District</t>
  </si>
  <si>
    <t>52. Proof of Identity and Address -  PIN Code</t>
  </si>
  <si>
    <t>53. Proof of Identity and Address - State</t>
  </si>
  <si>
    <t>54. Proof of Identity and Address  - Country</t>
  </si>
  <si>
    <t>55. Proof submitted for Proof of Identity and Address</t>
  </si>
  <si>
    <t>56. Flag indicating if Proof of Identity and Address is same as current Address for related person</t>
  </si>
  <si>
    <t>57. Current Address Line 1</t>
  </si>
  <si>
    <t>58. Current Address Line 2</t>
  </si>
  <si>
    <t>59. Current Address Line 3</t>
  </si>
  <si>
    <t>60. Current Address -  City / Town / Village</t>
  </si>
  <si>
    <t>61. Current Address -  District</t>
  </si>
  <si>
    <t>62. Current Address - State</t>
  </si>
  <si>
    <t>63. Current Address - Country</t>
  </si>
  <si>
    <t>64. Current Address -  PIN Code</t>
  </si>
  <si>
    <t>65. Proof of address submitted for Current Address</t>
  </si>
  <si>
    <t>66. Residence Telephone No. (STD Code)</t>
  </si>
  <si>
    <t>67. Residence Telephone No.</t>
  </si>
  <si>
    <t>68. Office Telephone No. (STD Code)</t>
  </si>
  <si>
    <t>69. Office Telephone No.</t>
  </si>
  <si>
    <t>70. Mobile No. (ISD Code)</t>
  </si>
  <si>
    <t>71. Mobile No.</t>
  </si>
  <si>
    <t>72. Fax No. (STD Code)</t>
  </si>
  <si>
    <t>73. Fax No.</t>
  </si>
  <si>
    <t>74. Email ID</t>
  </si>
  <si>
    <t>75. Date of Declaration</t>
  </si>
  <si>
    <t>76. Place of Declaration</t>
  </si>
  <si>
    <t>77. KYC Verification Date</t>
  </si>
  <si>
    <t>78. Type of Document Submitted</t>
  </si>
  <si>
    <t>79. KYC Verification Name</t>
  </si>
  <si>
    <t>80. KYC Verification Designation</t>
  </si>
  <si>
    <t>81. KYC Verification Branch</t>
  </si>
  <si>
    <t>82. KYC Verification EMP code</t>
  </si>
  <si>
    <t>83. Organisation Name</t>
  </si>
  <si>
    <t>84. Organisation Code</t>
  </si>
  <si>
    <t>85. DIN (Director Identification Number)</t>
  </si>
  <si>
    <t>86. Remarks, if any</t>
  </si>
  <si>
    <t>87. Related Person type Others Description</t>
  </si>
  <si>
    <t>88. Filler 2</t>
  </si>
  <si>
    <t>89. Filler 3</t>
  </si>
  <si>
    <t>90. Filler 4</t>
  </si>
  <si>
    <t>Number 14</t>
  </si>
  <si>
    <t>Varchar 5</t>
  </si>
  <si>
    <t>Number 2021-04-12 00:00:00</t>
  </si>
  <si>
    <t>Varchar 4</t>
  </si>
  <si>
    <t>Character 20</t>
  </si>
  <si>
    <t>Number 8</t>
  </si>
  <si>
    <t>40</t>
  </si>
  <si>
    <t>Detail Record 70 - Scanned Image Reference  (one row per image; repeat Applicant Line No for more than one image)</t>
  </si>
  <si>
    <t>blank field</t>
  </si>
  <si>
    <t>3. Image Name in Folder</t>
  </si>
  <si>
    <t>4. Image Type</t>
  </si>
  <si>
    <t>5. Flag for Global or Local Image</t>
  </si>
  <si>
    <t>6. Branch Code</t>
  </si>
  <si>
    <t>7. Filler1</t>
  </si>
  <si>
    <t>8. Filler2</t>
  </si>
  <si>
    <t>9. Filler3</t>
  </si>
  <si>
    <t>Number 7</t>
  </si>
  <si>
    <t>70</t>
  </si>
  <si>
    <t>40037412143945_02_08082025142841.TIF</t>
  </si>
  <si>
    <t>Final Output – copy Column B (top to bottom) into Notepad and save as .txt</t>
  </si>
  <si>
    <t>Record</t>
  </si>
  <si>
    <t>Pipe-delimited line (this is what goes into the .txt file)</t>
  </si>
  <si>
    <t>Header (10)</t>
  </si>
  <si>
    <t>Applicant #1 - 20</t>
  </si>
  <si>
    <t xml:space="preserve">  Identity 30 (#1)</t>
  </si>
  <si>
    <t xml:space="preserve">  Identity 30 (#2)</t>
  </si>
  <si>
    <t xml:space="preserve">  Identity 30 (#3)</t>
  </si>
  <si>
    <t xml:space="preserve">  Identity 30 (#4)</t>
  </si>
  <si>
    <t xml:space="preserve">  Related Person 40 (#1)</t>
  </si>
  <si>
    <t xml:space="preserve">  Related Person 40 (#2)</t>
  </si>
  <si>
    <t xml:space="preserve">  Related Person 40 (#3)</t>
  </si>
  <si>
    <t xml:space="preserve">  Image 70 (#1)</t>
  </si>
  <si>
    <t xml:space="preserve">  Image 70 (#2)</t>
  </si>
  <si>
    <t xml:space="preserve">  Image 70 (#3)</t>
  </si>
  <si>
    <t xml:space="preserve">  Image 70 (#4)</t>
  </si>
  <si>
    <t xml:space="preserve">  Image 70 (#5)</t>
  </si>
  <si>
    <t xml:space="preserve">  Image 70 (#6)</t>
  </si>
  <si>
    <t>Applicant #2 - 20</t>
  </si>
  <si>
    <t>Applicant #3 - 20</t>
  </si>
  <si>
    <t>Applicant #4 - 20</t>
  </si>
  <si>
    <t>Applicant #5 - 20</t>
  </si>
  <si>
    <t>Applicant #6 - 20</t>
  </si>
  <si>
    <t>Applicant #7 - 20</t>
  </si>
  <si>
    <t>Applicant #8 - 20</t>
  </si>
  <si>
    <t>Applicant #9 - 20</t>
  </si>
  <si>
    <t>Applicant #10 - 20</t>
  </si>
  <si>
    <t>Applicant #11 - 20</t>
  </si>
  <si>
    <t>Applicant #12 - 20</t>
  </si>
  <si>
    <t>Applicant #13 - 20</t>
  </si>
  <si>
    <t>Applicant #14 - 20</t>
  </si>
  <si>
    <t>Applicant #15 - 20</t>
  </si>
  <si>
    <t>Applicant #16 - 20</t>
  </si>
  <si>
    <t>Applicant #17 - 20</t>
  </si>
  <si>
    <t>Applicant #18 - 20</t>
  </si>
  <si>
    <t>Applicant #19 - 20</t>
  </si>
  <si>
    <t>Applicant #20 - 20</t>
  </si>
  <si>
    <t>Applicant #21 - 20</t>
  </si>
  <si>
    <t>Applicant #22 - 20</t>
  </si>
  <si>
    <t>Applicant #23 - 20</t>
  </si>
  <si>
    <t>Applicant #24 - 20</t>
  </si>
  <si>
    <t>Applicant #25 - 20</t>
  </si>
  <si>
    <t>Applicant #26 - 20</t>
  </si>
  <si>
    <t>Applicant #27 - 20</t>
  </si>
  <si>
    <t>Applicant #28 - 20</t>
  </si>
  <si>
    <t>Applicant #29 - 20</t>
  </si>
  <si>
    <t>Applicant #30 - 20</t>
  </si>
  <si>
    <t>Applicant #31 - 20</t>
  </si>
  <si>
    <t>Applicant #32 - 20</t>
  </si>
  <si>
    <t>Applicant #33 - 20</t>
  </si>
  <si>
    <t>Applicant #34 - 20</t>
  </si>
  <si>
    <t>Applicant #35 - 20</t>
  </si>
  <si>
    <t>Applicant #36 - 20</t>
  </si>
  <si>
    <t>Applicant #37 - 20</t>
  </si>
  <si>
    <t>Applicant #38 - 20</t>
  </si>
  <si>
    <t>Applicant #39 - 20</t>
  </si>
  <si>
    <t>Applicant #40 - 20</t>
  </si>
  <si>
    <t>Applicant #41 - 20</t>
  </si>
  <si>
    <t>Tip: filter/hide blank rows in column B, then copy the remaining cells into Notepad and 'Save As' with the file name shown on the Header (10) sheet (extension .txt).</t>
  </si>
  <si>
    <t>Reference Master Lists (do not edit - feeds the drop-downs)</t>
  </si>
  <si>
    <t>Gender</t>
  </si>
  <si>
    <t>YN</t>
  </si>
  <si>
    <t>ApplicationType</t>
  </si>
  <si>
    <t>AccountType</t>
  </si>
  <si>
    <t>ResidentialStatus</t>
  </si>
  <si>
    <t>FatherSpouseFlag</t>
  </si>
  <si>
    <t>BooleanFlag</t>
  </si>
  <si>
    <t>KYCDocType</t>
  </si>
  <si>
    <t>KYCDocTypeLE</t>
  </si>
  <si>
    <t>RelatedPersonAddDel</t>
  </si>
  <si>
    <t>IdentityVerificationFlag</t>
  </si>
  <si>
    <t>ConstitutionType</t>
  </si>
  <si>
    <t>RelatedPersonType</t>
  </si>
  <si>
    <t>IdentityCode</t>
  </si>
  <si>
    <t>ProofOfAddress</t>
  </si>
  <si>
    <t>DocumentMaster</t>
  </si>
  <si>
    <t>TypeOfImpairment</t>
  </si>
  <si>
    <t>StateMaster</t>
  </si>
  <si>
    <t>CountryCode</t>
  </si>
  <si>
    <t>Code</t>
  </si>
  <si>
    <t>Description</t>
  </si>
  <si>
    <t>Male</t>
  </si>
  <si>
    <t>Yes</t>
  </si>
  <si>
    <t>New</t>
  </si>
  <si>
    <t>Normal</t>
  </si>
  <si>
    <t>Resident Individual</t>
  </si>
  <si>
    <t>Father Name</t>
  </si>
  <si>
    <t>0</t>
  </si>
  <si>
    <t>False</t>
  </si>
  <si>
    <t>Certified Copies</t>
  </si>
  <si>
    <t>Addition of Related Person</t>
  </si>
  <si>
    <t>Done</t>
  </si>
  <si>
    <t>Individual</t>
  </si>
  <si>
    <t>Guardian of minor</t>
  </si>
  <si>
    <t>Passport</t>
  </si>
  <si>
    <t>Proof of Possession of Aadhaar</t>
  </si>
  <si>
    <t>Photograph</t>
  </si>
  <si>
    <t>Blindness</t>
  </si>
  <si>
    <t>AN</t>
  </si>
  <si>
    <t>ANDAMAN AND NICOBAR ISLANDS</t>
  </si>
  <si>
    <t>AF</t>
  </si>
  <si>
    <t>Afghanistan</t>
  </si>
  <si>
    <t>F</t>
  </si>
  <si>
    <t>Female</t>
  </si>
  <si>
    <t>N</t>
  </si>
  <si>
    <t>No</t>
  </si>
  <si>
    <t>04</t>
  </si>
  <si>
    <t>OTP Based E-KYC</t>
  </si>
  <si>
    <t>Non Resident Indian</t>
  </si>
  <si>
    <t>Spouse Name</t>
  </si>
  <si>
    <t>True</t>
  </si>
  <si>
    <t>E-KYC data received from UIDAI</t>
  </si>
  <si>
    <t>Equivalent e-document</t>
  </si>
  <si>
    <t>Deletion of Related Person</t>
  </si>
  <si>
    <t>Sole Proprietorship</t>
  </si>
  <si>
    <t>Assignee</t>
  </si>
  <si>
    <t>B</t>
  </si>
  <si>
    <t>Voter ID</t>
  </si>
  <si>
    <t>03</t>
  </si>
  <si>
    <t>PAN</t>
  </si>
  <si>
    <t>Low Vision</t>
  </si>
  <si>
    <t>AP</t>
  </si>
  <si>
    <t>ANDHRA PRADESH</t>
  </si>
  <si>
    <t>AX</t>
  </si>
  <si>
    <t>Aland Islands</t>
  </si>
  <si>
    <t>T</t>
  </si>
  <si>
    <t>Transgender</t>
  </si>
  <si>
    <t>05</t>
  </si>
  <si>
    <t>Minor</t>
  </si>
  <si>
    <t>Foreign National</t>
  </si>
  <si>
    <t>Data received from offline verification</t>
  </si>
  <si>
    <t>Partnership Firm</t>
  </si>
  <si>
    <t>Authorised Representative</t>
  </si>
  <si>
    <t>C</t>
  </si>
  <si>
    <t>Driving License</t>
  </si>
  <si>
    <t>Hearing Impairment</t>
  </si>
  <si>
    <t>AR</t>
  </si>
  <si>
    <t>ARUNACHAL PRADESH</t>
  </si>
  <si>
    <t>AL</t>
  </si>
  <si>
    <t>Albania</t>
  </si>
  <si>
    <t>Person of Indian Origin</t>
  </si>
  <si>
    <t>Digital KYC process</t>
  </si>
  <si>
    <t>HUF</t>
  </si>
  <si>
    <t>Director</t>
  </si>
  <si>
    <t>D</t>
  </si>
  <si>
    <t>Driving Licence</t>
  </si>
  <si>
    <t>Voters Identity Card</t>
  </si>
  <si>
    <t>Locomotor Disability</t>
  </si>
  <si>
    <t>AS</t>
  </si>
  <si>
    <t>ASSAM</t>
  </si>
  <si>
    <t>DZ</t>
  </si>
  <si>
    <t>Algeria</t>
  </si>
  <si>
    <t>Private Limited Company</t>
  </si>
  <si>
    <t>Promoter</t>
  </si>
  <si>
    <t>E</t>
  </si>
  <si>
    <t>NREGA Job Card</t>
  </si>
  <si>
    <t>06</t>
  </si>
  <si>
    <t>Leprosy Cured</t>
  </si>
  <si>
    <t>BR</t>
  </si>
  <si>
    <t>BIHAR</t>
  </si>
  <si>
    <t>American Samoa</t>
  </si>
  <si>
    <t>Video-based KYC</t>
  </si>
  <si>
    <t>Public Limited Company</t>
  </si>
  <si>
    <t>Karta</t>
  </si>
  <si>
    <t>Certificate of Incorporation/Formation</t>
  </si>
  <si>
    <t>07</t>
  </si>
  <si>
    <t>Cerebral Palsy</t>
  </si>
  <si>
    <t>CG</t>
  </si>
  <si>
    <t>CHHATTISGARH</t>
  </si>
  <si>
    <t>AD</t>
  </si>
  <si>
    <t>Andorra</t>
  </si>
  <si>
    <t>Society</t>
  </si>
  <si>
    <t>Trustee</t>
  </si>
  <si>
    <t>G</t>
  </si>
  <si>
    <t>National Population Register Letter</t>
  </si>
  <si>
    <t>Registration Certificate</t>
  </si>
  <si>
    <t>08</t>
  </si>
  <si>
    <t>Intellectual Disability</t>
  </si>
  <si>
    <t>CH</t>
  </si>
  <si>
    <t>CHANDIGARH</t>
  </si>
  <si>
    <t>AO</t>
  </si>
  <si>
    <t>Angola</t>
  </si>
  <si>
    <t>Association of Persons (AOP)/ Body of Individuals (BOI)</t>
  </si>
  <si>
    <t>Partner</t>
  </si>
  <si>
    <t>H</t>
  </si>
  <si>
    <t>E-KYC Authentication</t>
  </si>
  <si>
    <t>09</t>
  </si>
  <si>
    <t>Signature</t>
  </si>
  <si>
    <t>Mental Illness</t>
  </si>
  <si>
    <t>DD</t>
  </si>
  <si>
    <t>THE DADRA AND NAGAR HAVELI AND DAMAN AND DIU</t>
  </si>
  <si>
    <t>AI</t>
  </si>
  <si>
    <t>Anguilla</t>
  </si>
  <si>
    <t>Trust</t>
  </si>
  <si>
    <t>Proprietor</t>
  </si>
  <si>
    <t>I</t>
  </si>
  <si>
    <t>Offline Verification of Aadhaar</t>
  </si>
  <si>
    <t>Simplified Measures Account  - Identity card with applicant’s photograph issued by Central/ State Government Departments, Statutory/ Regulatory Authorities, Public Sector Undertakings, Scheduled Commercial Banks, and Public Financial Institutions.</t>
  </si>
  <si>
    <t>Muscular Dystrophy</t>
  </si>
  <si>
    <t>DL</t>
  </si>
  <si>
    <t>DELHI</t>
  </si>
  <si>
    <t>AQ</t>
  </si>
  <si>
    <t>Antarctica</t>
  </si>
  <si>
    <t>Liquidator</t>
  </si>
  <si>
    <t>Court Appointed Official</t>
  </si>
  <si>
    <t>J</t>
  </si>
  <si>
    <t>Documents issued by Government departments of foreign jurisdictions and letter issued by Foreign Embassy or Mission in India.
API tag: &lt;FOREIGN_NATIONAL_ID&gt;</t>
  </si>
  <si>
    <t>Offline verification of Aadhaar</t>
  </si>
  <si>
    <t>Simplified Measures Account  - Letter issued by a gazetted officer, with a duly attested photograph of the person.</t>
  </si>
  <si>
    <t>Parkinson's Disease</t>
  </si>
  <si>
    <t>DN</t>
  </si>
  <si>
    <t>DADRA AND NAGAR HAVELI</t>
  </si>
  <si>
    <t>AG</t>
  </si>
  <si>
    <t>Antigua and Barbuda</t>
  </si>
  <si>
    <t>Limited Liability Partnership</t>
  </si>
  <si>
    <t>Beneficiary</t>
  </si>
  <si>
    <t>Z</t>
  </si>
  <si>
    <t>Others</t>
  </si>
  <si>
    <t>Utility bill which is not more than two months old of any service provider (electricity, telephone, post-paid mobile phone, piped gas, water bill).</t>
  </si>
  <si>
    <t>Acid Attack Victim</t>
  </si>
  <si>
    <t>GA</t>
  </si>
  <si>
    <t>GOA</t>
  </si>
  <si>
    <t>Argentina</t>
  </si>
  <si>
    <t>K</t>
  </si>
  <si>
    <t>Artificial Liability Partnership</t>
  </si>
  <si>
    <t>Authorised Signatory</t>
  </si>
  <si>
    <t>S01</t>
  </si>
  <si>
    <t>Property or Municipal Tax receipt.</t>
  </si>
  <si>
    <t>Sickle Cell Disease</t>
  </si>
  <si>
    <t>GJ</t>
  </si>
  <si>
    <t>GUJARAT</t>
  </si>
  <si>
    <t>AM</t>
  </si>
  <si>
    <t>Armenia</t>
  </si>
  <si>
    <t>L</t>
  </si>
  <si>
    <t>Public Sector Banks</t>
  </si>
  <si>
    <t>Beneficial Owner</t>
  </si>
  <si>
    <t>S02</t>
  </si>
  <si>
    <t>Pension or family pension payment orders (PPOs) issued to retired employees by Government Departments or Public Sector Undertakings, if they contain the address.</t>
  </si>
  <si>
    <t>Bank account or Post Office savings bank account statement.</t>
  </si>
  <si>
    <t>Hemophilia</t>
  </si>
  <si>
    <t>HP</t>
  </si>
  <si>
    <t>HIMACHAL PRADESH</t>
  </si>
  <si>
    <t>AW</t>
  </si>
  <si>
    <t>Aruba</t>
  </si>
  <si>
    <t>Central/State Government Departments/Agency</t>
  </si>
  <si>
    <t>Power of Attorney holder</t>
  </si>
  <si>
    <t xml:space="preserve"> 01       </t>
  </si>
  <si>
    <t>Officially valid document(s) in respect of person authorized to transact</t>
  </si>
  <si>
    <t>Letter of allotment of accommodation from employer issued by State or Central Government departments, statutory or regulatory bodies, public sector undertakings, scheduled commercial banks, financial institutions and listed companies. Similarly, leave and license agreements with such employers allotting official accommodation.</t>
  </si>
  <si>
    <t>Thalassemia</t>
  </si>
  <si>
    <t>HR</t>
  </si>
  <si>
    <t>HARYANA</t>
  </si>
  <si>
    <t>AU</t>
  </si>
  <si>
    <t>Australia</t>
  </si>
  <si>
    <t>Section 8 (Companies Act, 2013)</t>
  </si>
  <si>
    <t>Other</t>
  </si>
  <si>
    <t xml:space="preserve"> 02       </t>
  </si>
  <si>
    <t>Self Declaration</t>
  </si>
  <si>
    <t>Speech and Language Disability</t>
  </si>
  <si>
    <t>JH</t>
  </si>
  <si>
    <t>JHARKHAND</t>
  </si>
  <si>
    <t>AT</t>
  </si>
  <si>
    <t>Austria</t>
  </si>
  <si>
    <t>Artificial Juridical Person</t>
  </si>
  <si>
    <t xml:space="preserve"> 03       </t>
  </si>
  <si>
    <t>Documents issued by the Government departments of foreign jurisdictions and letter issued by the Foreign Embassy or Mission in India
API tag:  &lt;FOREIGN_NATIONAL_ID&gt;</t>
  </si>
  <si>
    <t>Documents issued by Government departments of foreign jurisdictions and letter issued by Foreign Embassy or Mission in India.</t>
  </si>
  <si>
    <t>Multiple Sclerosis</t>
  </si>
  <si>
    <t>JK</t>
  </si>
  <si>
    <t>JAMMU AND KASHMIR</t>
  </si>
  <si>
    <t>AZ</t>
  </si>
  <si>
    <t>Azerbaijan</t>
  </si>
  <si>
    <t>P</t>
  </si>
  <si>
    <t>International Organisation or Agency/Foreign embasssy or consular office etc.</t>
  </si>
  <si>
    <t xml:space="preserve"> 04       </t>
  </si>
  <si>
    <t>Memorandum and Articles of Association</t>
  </si>
  <si>
    <t>National Population Registry Letter</t>
  </si>
  <si>
    <t>Specific Learning Disabilities</t>
  </si>
  <si>
    <t>KA</t>
  </si>
  <si>
    <t>KARNATAKA</t>
  </si>
  <si>
    <t>BS</t>
  </si>
  <si>
    <t>Bahamas</t>
  </si>
  <si>
    <t>Q</t>
  </si>
  <si>
    <t>Not Categorized</t>
  </si>
  <si>
    <t xml:space="preserve"> 05       </t>
  </si>
  <si>
    <t>Partnership Deed</t>
  </si>
  <si>
    <t>Chronic Neurological Conditions</t>
  </si>
  <si>
    <t>KL</t>
  </si>
  <si>
    <t>KERALA</t>
  </si>
  <si>
    <t>BH</t>
  </si>
  <si>
    <t>Bahrain</t>
  </si>
  <si>
    <t>R</t>
  </si>
  <si>
    <t xml:space="preserve"> 06       </t>
  </si>
  <si>
    <t>Trust Deed</t>
  </si>
  <si>
    <t>Autism Spectrum Disorder</t>
  </si>
  <si>
    <t>LA</t>
  </si>
  <si>
    <t>LADAKH</t>
  </si>
  <si>
    <t>BD</t>
  </si>
  <si>
    <t>Bangladesh</t>
  </si>
  <si>
    <t>S</t>
  </si>
  <si>
    <t>Foreign Portfolio Investors</t>
  </si>
  <si>
    <t xml:space="preserve"> 07       </t>
  </si>
  <si>
    <t>Resolution of Board/ Managing Committee</t>
  </si>
  <si>
    <t>Dwarfism</t>
  </si>
  <si>
    <t>LD</t>
  </si>
  <si>
    <t>LAKSHADWEEP</t>
  </si>
  <si>
    <t>BB</t>
  </si>
  <si>
    <t>Barbados</t>
  </si>
  <si>
    <t xml:space="preserve"> 08       </t>
  </si>
  <si>
    <t>Power of Attorney granted to its manager, officers or employees to transact on its behalf</t>
  </si>
  <si>
    <t>Documents issued by Government departments of foreign jurisdictions and letter issued by Foreign Embassy or Mission in India.
API tag:  &lt;FOREIGN_NATIONAL_ID&gt;</t>
  </si>
  <si>
    <t>MH</t>
  </si>
  <si>
    <t>MAHARASHTRA</t>
  </si>
  <si>
    <t>BY</t>
  </si>
  <si>
    <t>Belarus</t>
  </si>
  <si>
    <t xml:space="preserve"> 09       </t>
  </si>
  <si>
    <t>Activity Proof – 1</t>
  </si>
  <si>
    <t>Death certificate</t>
  </si>
  <si>
    <t>ML</t>
  </si>
  <si>
    <t>MEGHALAYA</t>
  </si>
  <si>
    <t>BE</t>
  </si>
  <si>
    <t>Belgium</t>
  </si>
  <si>
    <t xml:space="preserve"> 10       </t>
  </si>
  <si>
    <t>Activity Proof – 2</t>
  </si>
  <si>
    <t>MN</t>
  </si>
  <si>
    <t>MANIPUR</t>
  </si>
  <si>
    <t>BZ</t>
  </si>
  <si>
    <t>Belize</t>
  </si>
  <si>
    <t>MP</t>
  </si>
  <si>
    <t>MADHYA PRADESH</t>
  </si>
  <si>
    <t>BJ</t>
  </si>
  <si>
    <t>Benin</t>
  </si>
  <si>
    <t>MZ</t>
  </si>
  <si>
    <t>MIZORAM</t>
  </si>
  <si>
    <t>BM</t>
  </si>
  <si>
    <t>Bermuda</t>
  </si>
  <si>
    <t>NL</t>
  </si>
  <si>
    <t>NAGALAND</t>
  </si>
  <si>
    <t>BT</t>
  </si>
  <si>
    <t>Bhutan</t>
  </si>
  <si>
    <t>OD</t>
  </si>
  <si>
    <t>ODISHA</t>
  </si>
  <si>
    <t>BO</t>
  </si>
  <si>
    <t>Bolivia, Plurinational State of</t>
  </si>
  <si>
    <t>OR</t>
  </si>
  <si>
    <t>BQ</t>
  </si>
  <si>
    <t>Bonaire, Sint Eustatius and Saba</t>
  </si>
  <si>
    <t>PB</t>
  </si>
  <si>
    <t>PUNJAB</t>
  </si>
  <si>
    <t>BA</t>
  </si>
  <si>
    <t>Bosnia and Herzegovina</t>
  </si>
  <si>
    <t>Power of Attorney granted to its manager, officers or employees to transact on its behalf.</t>
  </si>
  <si>
    <t>PY</t>
  </si>
  <si>
    <t>PUDUCHERRY</t>
  </si>
  <si>
    <t>BW</t>
  </si>
  <si>
    <t>Botswana</t>
  </si>
  <si>
    <t>Activity Proof – 1 (For Sole Proprietorship only)</t>
  </si>
  <si>
    <t>RJ</t>
  </si>
  <si>
    <t>RAJASTHAN</t>
  </si>
  <si>
    <t>BV</t>
  </si>
  <si>
    <t>Bouvet Island</t>
  </si>
  <si>
    <t>Activity Proof – 2 (For Sole Proprietorship only)</t>
  </si>
  <si>
    <t>SK</t>
  </si>
  <si>
    <t>SIKKIM</t>
  </si>
  <si>
    <t>Brazil</t>
  </si>
  <si>
    <t>TG</t>
  </si>
  <si>
    <t>TELANGANA</t>
  </si>
  <si>
    <t>IO</t>
  </si>
  <si>
    <t>British Indian Ocean Territory</t>
  </si>
  <si>
    <t>TAMIL NADU</t>
  </si>
  <si>
    <t>BN</t>
  </si>
  <si>
    <t>Brunei Darussalam</t>
  </si>
  <si>
    <t>TR</t>
  </si>
  <si>
    <t>TRIPURA</t>
  </si>
  <si>
    <t>BG</t>
  </si>
  <si>
    <t>Bulgaria</t>
  </si>
  <si>
    <t>TS</t>
  </si>
  <si>
    <t>BF</t>
  </si>
  <si>
    <t>Burkina Faso</t>
  </si>
  <si>
    <t>UA</t>
  </si>
  <si>
    <t>UTTARAKHAND</t>
  </si>
  <si>
    <t>BI</t>
  </si>
  <si>
    <t>Burundi</t>
  </si>
  <si>
    <t>UK</t>
  </si>
  <si>
    <t>CV</t>
  </si>
  <si>
    <t>Cabo Verde</t>
  </si>
  <si>
    <t>UP</t>
  </si>
  <si>
    <t>UTTAR PRADESH</t>
  </si>
  <si>
    <t>KH</t>
  </si>
  <si>
    <t>Cambodia</t>
  </si>
  <si>
    <t>WB</t>
  </si>
  <si>
    <t>WEST BENGAL</t>
  </si>
  <si>
    <t>CM</t>
  </si>
  <si>
    <t>Cameroon</t>
  </si>
  <si>
    <t>XX</t>
  </si>
  <si>
    <t>OTHER</t>
  </si>
  <si>
    <t>CA</t>
  </si>
  <si>
    <t>Canada</t>
  </si>
  <si>
    <t>Army Post Office</t>
  </si>
  <si>
    <t>KY</t>
  </si>
  <si>
    <t>Cayman Islands</t>
  </si>
  <si>
    <t>CF</t>
  </si>
  <si>
    <t>Central African Republic</t>
  </si>
  <si>
    <t>TD</t>
  </si>
  <si>
    <t>Chad</t>
  </si>
  <si>
    <t>CL</t>
  </si>
  <si>
    <t>Chile</t>
  </si>
  <si>
    <t>CN</t>
  </si>
  <si>
    <t>China</t>
  </si>
  <si>
    <t>CX</t>
  </si>
  <si>
    <t>Christmas Island</t>
  </si>
  <si>
    <t>CC</t>
  </si>
  <si>
    <t>Cocos (Keeling) Islands</t>
  </si>
  <si>
    <t>CO</t>
  </si>
  <si>
    <t>Colombia</t>
  </si>
  <si>
    <t>KM</t>
  </si>
  <si>
    <t>Comoros</t>
  </si>
  <si>
    <t>Congo</t>
  </si>
  <si>
    <t>CD</t>
  </si>
  <si>
    <t>Congo, the Democratic Republic of the</t>
  </si>
  <si>
    <t>CK</t>
  </si>
  <si>
    <t>Cook Islands</t>
  </si>
  <si>
    <t>CR</t>
  </si>
  <si>
    <t>Costa Rica</t>
  </si>
  <si>
    <t>CI</t>
  </si>
  <si>
    <t>Cote d'Ivoire !Côte d'Ivoire</t>
  </si>
  <si>
    <t>Croatia</t>
  </si>
  <si>
    <t>CU</t>
  </si>
  <si>
    <t>Cuba</t>
  </si>
  <si>
    <t>CW</t>
  </si>
  <si>
    <t>Curacao !Curaçao</t>
  </si>
  <si>
    <t>CY</t>
  </si>
  <si>
    <t>Cyprus</t>
  </si>
  <si>
    <t>CZ</t>
  </si>
  <si>
    <t>Czech Republic</t>
  </si>
  <si>
    <t>DK</t>
  </si>
  <si>
    <t>Denmark</t>
  </si>
  <si>
    <t>DJ</t>
  </si>
  <si>
    <t>Djibouti</t>
  </si>
  <si>
    <t>DM</t>
  </si>
  <si>
    <t>Dominica</t>
  </si>
  <si>
    <t>DO</t>
  </si>
  <si>
    <t>Dominican Republic</t>
  </si>
  <si>
    <t>EC</t>
  </si>
  <si>
    <t>Ecuador</t>
  </si>
  <si>
    <t>EG</t>
  </si>
  <si>
    <t>Egypt</t>
  </si>
  <si>
    <t>SV</t>
  </si>
  <si>
    <t>El Salvador</t>
  </si>
  <si>
    <t>GQ</t>
  </si>
  <si>
    <t>Equatorial Guinea</t>
  </si>
  <si>
    <t>ER</t>
  </si>
  <si>
    <t>Eritrea</t>
  </si>
  <si>
    <t>EE</t>
  </si>
  <si>
    <t>Estonia</t>
  </si>
  <si>
    <t>ET</t>
  </si>
  <si>
    <t>Ethiopia</t>
  </si>
  <si>
    <t>FK</t>
  </si>
  <si>
    <t>Falkland Islands (Malvinas)</t>
  </si>
  <si>
    <t>FO</t>
  </si>
  <si>
    <t>Faroe Islands</t>
  </si>
  <si>
    <t>FJ</t>
  </si>
  <si>
    <t>Fiji</t>
  </si>
  <si>
    <t>FI</t>
  </si>
  <si>
    <t>Finland</t>
  </si>
  <si>
    <t>FR</t>
  </si>
  <si>
    <t>France</t>
  </si>
  <si>
    <t>GF</t>
  </si>
  <si>
    <t>French Guiana</t>
  </si>
  <si>
    <t>PF</t>
  </si>
  <si>
    <t>French Polynesia</t>
  </si>
  <si>
    <t>TF</t>
  </si>
  <si>
    <t>French Southern Territories</t>
  </si>
  <si>
    <t>Gabon</t>
  </si>
  <si>
    <t>GM</t>
  </si>
  <si>
    <t>Gambia</t>
  </si>
  <si>
    <t>GE</t>
  </si>
  <si>
    <t>Georgia</t>
  </si>
  <si>
    <t>DE</t>
  </si>
  <si>
    <t>Germany</t>
  </si>
  <si>
    <t>GH</t>
  </si>
  <si>
    <t>Ghana</t>
  </si>
  <si>
    <t>GI</t>
  </si>
  <si>
    <t>Gibraltar</t>
  </si>
  <si>
    <t>GR</t>
  </si>
  <si>
    <t>Greece</t>
  </si>
  <si>
    <t>GL</t>
  </si>
  <si>
    <t>Greenland</t>
  </si>
  <si>
    <t>GD</t>
  </si>
  <si>
    <t>Grenada</t>
  </si>
  <si>
    <t>GP</t>
  </si>
  <si>
    <t>Guadeloupe</t>
  </si>
  <si>
    <t>GU</t>
  </si>
  <si>
    <t>Guam</t>
  </si>
  <si>
    <t>GT</t>
  </si>
  <si>
    <t>Guatemala</t>
  </si>
  <si>
    <t>GG</t>
  </si>
  <si>
    <t>Guernsey</t>
  </si>
  <si>
    <t>GN</t>
  </si>
  <si>
    <t>Guinea</t>
  </si>
  <si>
    <t>GW</t>
  </si>
  <si>
    <t>Guinea-Bissau</t>
  </si>
  <si>
    <t>GY</t>
  </si>
  <si>
    <t>Guyana</t>
  </si>
  <si>
    <t>HT</t>
  </si>
  <si>
    <t>Haiti</t>
  </si>
  <si>
    <t>HM</t>
  </si>
  <si>
    <t>Heard Island and McDonald Islands</t>
  </si>
  <si>
    <t>VA</t>
  </si>
  <si>
    <t>Holy See (Vatican City State)</t>
  </si>
  <si>
    <t>HN</t>
  </si>
  <si>
    <t>Honduras</t>
  </si>
  <si>
    <t>HK</t>
  </si>
  <si>
    <t>Hong Kong</t>
  </si>
  <si>
    <t>HU</t>
  </si>
  <si>
    <t>Hungary</t>
  </si>
  <si>
    <t>IS</t>
  </si>
  <si>
    <t>Iceland</t>
  </si>
  <si>
    <t>India</t>
  </si>
  <si>
    <t>ID</t>
  </si>
  <si>
    <t>Indonesia</t>
  </si>
  <si>
    <t>IR</t>
  </si>
  <si>
    <t>Iran, Islamic Republic of</t>
  </si>
  <si>
    <t>IQ</t>
  </si>
  <si>
    <t>Iraq</t>
  </si>
  <si>
    <t>IE</t>
  </si>
  <si>
    <t>Ireland</t>
  </si>
  <si>
    <t>IM</t>
  </si>
  <si>
    <t>Isle of Man</t>
  </si>
  <si>
    <t>IL</t>
  </si>
  <si>
    <t>Israel</t>
  </si>
  <si>
    <t>IT</t>
  </si>
  <si>
    <t>Italy</t>
  </si>
  <si>
    <t>JM</t>
  </si>
  <si>
    <t>Jamaica</t>
  </si>
  <si>
    <t>JP</t>
  </si>
  <si>
    <t>Japan</t>
  </si>
  <si>
    <t>JE</t>
  </si>
  <si>
    <t>Jersey</t>
  </si>
  <si>
    <t>JO</t>
  </si>
  <si>
    <t>Jordan</t>
  </si>
  <si>
    <t>KZ</t>
  </si>
  <si>
    <t>Kazakhstan</t>
  </si>
  <si>
    <t>KE</t>
  </si>
  <si>
    <t>Kenya</t>
  </si>
  <si>
    <t>KI</t>
  </si>
  <si>
    <t>Kiribati</t>
  </si>
  <si>
    <t>KP</t>
  </si>
  <si>
    <t>Korea, Democratic People's Republic of</t>
  </si>
  <si>
    <t>KR</t>
  </si>
  <si>
    <t>Korea, Republic of</t>
  </si>
  <si>
    <t>KW</t>
  </si>
  <si>
    <t>Kuwait</t>
  </si>
  <si>
    <t>KG</t>
  </si>
  <si>
    <t>Kyrgyzstan</t>
  </si>
  <si>
    <t>Lao People's Democratic Republic</t>
  </si>
  <si>
    <t>LV</t>
  </si>
  <si>
    <t>Latvia</t>
  </si>
  <si>
    <t>LB</t>
  </si>
  <si>
    <t>Lebanon</t>
  </si>
  <si>
    <t>LS</t>
  </si>
  <si>
    <t>Lesotho</t>
  </si>
  <si>
    <t>LR</t>
  </si>
  <si>
    <t>Liberia</t>
  </si>
  <si>
    <t>LY</t>
  </si>
  <si>
    <t>Libya</t>
  </si>
  <si>
    <t>LI</t>
  </si>
  <si>
    <t>Liechtenstein</t>
  </si>
  <si>
    <t>LT</t>
  </si>
  <si>
    <t>Lithuania</t>
  </si>
  <si>
    <t>LU</t>
  </si>
  <si>
    <t>Luxembourg</t>
  </si>
  <si>
    <t>MO</t>
  </si>
  <si>
    <t>Macao</t>
  </si>
  <si>
    <t>MK</t>
  </si>
  <si>
    <t>Macedonia, the former Yugoslav Republic of</t>
  </si>
  <si>
    <t>MG</t>
  </si>
  <si>
    <t>Madagascar</t>
  </si>
  <si>
    <t>MW</t>
  </si>
  <si>
    <t>Malawi</t>
  </si>
  <si>
    <t>MY</t>
  </si>
  <si>
    <t>Malaysia</t>
  </si>
  <si>
    <t>MV</t>
  </si>
  <si>
    <t>Maldives</t>
  </si>
  <si>
    <t>Mali</t>
  </si>
  <si>
    <t>MT</t>
  </si>
  <si>
    <t>Malta</t>
  </si>
  <si>
    <t>Marshall Islands</t>
  </si>
  <si>
    <t>MQ</t>
  </si>
  <si>
    <t>Martinique</t>
  </si>
  <si>
    <t>MR</t>
  </si>
  <si>
    <t>Mauritania</t>
  </si>
  <si>
    <t>MU</t>
  </si>
  <si>
    <t>Mauritius</t>
  </si>
  <si>
    <t>YT</t>
  </si>
  <si>
    <t>Mayotte</t>
  </si>
  <si>
    <t>MX</t>
  </si>
  <si>
    <t>Mexico</t>
  </si>
  <si>
    <t>FM</t>
  </si>
  <si>
    <t>Micronesia, Federated States of</t>
  </si>
  <si>
    <t>MD</t>
  </si>
  <si>
    <t>Moldova, Republic of</t>
  </si>
  <si>
    <t>MC</t>
  </si>
  <si>
    <t>Monaco</t>
  </si>
  <si>
    <t>Mongolia</t>
  </si>
  <si>
    <t>ME</t>
  </si>
  <si>
    <t>Montenegro</t>
  </si>
  <si>
    <t>MS</t>
  </si>
  <si>
    <t>Montserrat</t>
  </si>
  <si>
    <t>MA</t>
  </si>
  <si>
    <t>Morocco</t>
  </si>
  <si>
    <t>Mozambique</t>
  </si>
  <si>
    <t>MM</t>
  </si>
  <si>
    <t>Myanmar</t>
  </si>
  <si>
    <t>Namibia</t>
  </si>
  <si>
    <t>NR</t>
  </si>
  <si>
    <t>Nauru</t>
  </si>
  <si>
    <t>NP</t>
  </si>
  <si>
    <t>Nepal</t>
  </si>
  <si>
    <t>Netherlands</t>
  </si>
  <si>
    <t>NC</t>
  </si>
  <si>
    <t>New Caledonia</t>
  </si>
  <si>
    <t>NZ</t>
  </si>
  <si>
    <t>New Zealand</t>
  </si>
  <si>
    <t>NI</t>
  </si>
  <si>
    <t>Nicaragua</t>
  </si>
  <si>
    <t>NE</t>
  </si>
  <si>
    <t>Niger</t>
  </si>
  <si>
    <t>NG</t>
  </si>
  <si>
    <t>Nigeria</t>
  </si>
  <si>
    <t>NU</t>
  </si>
  <si>
    <t>Niue</t>
  </si>
  <si>
    <t>NF</t>
  </si>
  <si>
    <t>Norfolk Island</t>
  </si>
  <si>
    <t>Northern Mariana Islands</t>
  </si>
  <si>
    <t>NO</t>
  </si>
  <si>
    <t>Norway</t>
  </si>
  <si>
    <t>OM</t>
  </si>
  <si>
    <t>Oman</t>
  </si>
  <si>
    <t>PK</t>
  </si>
  <si>
    <t>Pakistan</t>
  </si>
  <si>
    <t>PW</t>
  </si>
  <si>
    <t>Palau</t>
  </si>
  <si>
    <t>PS</t>
  </si>
  <si>
    <t>Palestine, State of</t>
  </si>
  <si>
    <t>PA</t>
  </si>
  <si>
    <t>Panama</t>
  </si>
  <si>
    <t>PG</t>
  </si>
  <si>
    <t>Papua New Guinea</t>
  </si>
  <si>
    <t>Paraguay</t>
  </si>
  <si>
    <t>PE</t>
  </si>
  <si>
    <t>Peru</t>
  </si>
  <si>
    <t>PH</t>
  </si>
  <si>
    <t>Philippines</t>
  </si>
  <si>
    <t>PN</t>
  </si>
  <si>
    <t>Pitcairn</t>
  </si>
  <si>
    <t>PL</t>
  </si>
  <si>
    <t>Poland</t>
  </si>
  <si>
    <t>PT</t>
  </si>
  <si>
    <t>Portugal</t>
  </si>
  <si>
    <t>PR</t>
  </si>
  <si>
    <t>Puerto Rico</t>
  </si>
  <si>
    <t>QA</t>
  </si>
  <si>
    <t>Qatar</t>
  </si>
  <si>
    <t>RE</t>
  </si>
  <si>
    <t>Reunion !Réunion</t>
  </si>
  <si>
    <t>RO</t>
  </si>
  <si>
    <t>Romania</t>
  </si>
  <si>
    <t>RU</t>
  </si>
  <si>
    <t>Russian Federation</t>
  </si>
  <si>
    <t>RW</t>
  </si>
  <si>
    <t>Rwanda</t>
  </si>
  <si>
    <t>BL</t>
  </si>
  <si>
    <t>Saint Barthelemy !Saint Barthélemy</t>
  </si>
  <si>
    <t>SH</t>
  </si>
  <si>
    <t>Saint Helena, Ascension and Tristan da Cunha</t>
  </si>
  <si>
    <t>KN</t>
  </si>
  <si>
    <t>Saint Kitts and Nevis</t>
  </si>
  <si>
    <t>LC</t>
  </si>
  <si>
    <t>Saint Lucia</t>
  </si>
  <si>
    <t>MF</t>
  </si>
  <si>
    <t>Saint Martin (French part)</t>
  </si>
  <si>
    <t>PM</t>
  </si>
  <si>
    <t>Saint Pierre and Miquelon</t>
  </si>
  <si>
    <t>VC</t>
  </si>
  <si>
    <t>Saint Vincent and the Grenadines</t>
  </si>
  <si>
    <t>WS</t>
  </si>
  <si>
    <t>Samoa</t>
  </si>
  <si>
    <t>SM</t>
  </si>
  <si>
    <t>San Marino</t>
  </si>
  <si>
    <t>ST</t>
  </si>
  <si>
    <t>Sao Tome and Principe</t>
  </si>
  <si>
    <t>SA</t>
  </si>
  <si>
    <t>Saudi Arabia</t>
  </si>
  <si>
    <t>SN</t>
  </si>
  <si>
    <t>Senegal</t>
  </si>
  <si>
    <t>RS</t>
  </si>
  <si>
    <t>Serbia</t>
  </si>
  <si>
    <t>SC</t>
  </si>
  <si>
    <t>Seychelles</t>
  </si>
  <si>
    <t>SL</t>
  </si>
  <si>
    <t>Sierra Leone</t>
  </si>
  <si>
    <t>SG</t>
  </si>
  <si>
    <t>Singapore</t>
  </si>
  <si>
    <t>SX</t>
  </si>
  <si>
    <t>Sint Maarten (Dutch part)</t>
  </si>
  <si>
    <t>Slovakia</t>
  </si>
  <si>
    <t>SI</t>
  </si>
  <si>
    <t>Slovenia</t>
  </si>
  <si>
    <t>SB</t>
  </si>
  <si>
    <t>Solomon Islands</t>
  </si>
  <si>
    <t>SO</t>
  </si>
  <si>
    <t>Somalia</t>
  </si>
  <si>
    <t>ZA</t>
  </si>
  <si>
    <t>South Africa</t>
  </si>
  <si>
    <t>GS</t>
  </si>
  <si>
    <t>South Georgia and the South Sandwich Islands</t>
  </si>
  <si>
    <t>SS</t>
  </si>
  <si>
    <t>South Sudan</t>
  </si>
  <si>
    <t>ES</t>
  </si>
  <si>
    <t>Spain</t>
  </si>
  <si>
    <t>LK</t>
  </si>
  <si>
    <t>Sri Lanka</t>
  </si>
  <si>
    <t>SD</t>
  </si>
  <si>
    <t>Sudan</t>
  </si>
  <si>
    <t>SR</t>
  </si>
  <si>
    <t>Suriname</t>
  </si>
  <si>
    <t>SJ</t>
  </si>
  <si>
    <t>Svalbard and Jan Mayen</t>
  </si>
  <si>
    <t>SZ</t>
  </si>
  <si>
    <t>Swaziland</t>
  </si>
  <si>
    <t>SE</t>
  </si>
  <si>
    <t>Sweden</t>
  </si>
  <si>
    <t>Switzerland</t>
  </si>
  <si>
    <t>SY</t>
  </si>
  <si>
    <t>Syrian Arab Republic</t>
  </si>
  <si>
    <t>TW</t>
  </si>
  <si>
    <t>Taiwan, Province of China</t>
  </si>
  <si>
    <t>TJ</t>
  </si>
  <si>
    <t>Tajikistan</t>
  </si>
  <si>
    <t>TZ</t>
  </si>
  <si>
    <t>Tanzania, United Republic of</t>
  </si>
  <si>
    <t>TH</t>
  </si>
  <si>
    <t>Thailand</t>
  </si>
  <si>
    <t>TL</t>
  </si>
  <si>
    <t>Timor-Leste</t>
  </si>
  <si>
    <t>Togo</t>
  </si>
  <si>
    <t>TK</t>
  </si>
  <si>
    <t>Tokelau</t>
  </si>
  <si>
    <t>TO</t>
  </si>
  <si>
    <t>Tonga</t>
  </si>
  <si>
    <t>TT</t>
  </si>
  <si>
    <t>Trinidad and Tobago</t>
  </si>
  <si>
    <t>Tunisia</t>
  </si>
  <si>
    <t>Turkey</t>
  </si>
  <si>
    <t>TM</t>
  </si>
  <si>
    <t>Turkmenistan</t>
  </si>
  <si>
    <t>TC</t>
  </si>
  <si>
    <t>Turks and Caicos Islands</t>
  </si>
  <si>
    <t>TV</t>
  </si>
  <si>
    <t>Tuvalu</t>
  </si>
  <si>
    <t>UG</t>
  </si>
  <si>
    <t>Uganda</t>
  </si>
  <si>
    <t>Ukraine</t>
  </si>
  <si>
    <t>AE</t>
  </si>
  <si>
    <t>United Arab Emirates</t>
  </si>
  <si>
    <t>GB</t>
  </si>
  <si>
    <t>United Kingdom</t>
  </si>
  <si>
    <t>US</t>
  </si>
  <si>
    <t>United States</t>
  </si>
  <si>
    <t>UM</t>
  </si>
  <si>
    <t>United States Minor Outlying Islands</t>
  </si>
  <si>
    <t>UY</t>
  </si>
  <si>
    <t>Uruguay</t>
  </si>
  <si>
    <t>UZ</t>
  </si>
  <si>
    <t>Uzbekistan</t>
  </si>
  <si>
    <t>VU</t>
  </si>
  <si>
    <t>Vanuatu</t>
  </si>
  <si>
    <t>VE</t>
  </si>
  <si>
    <t>Venezuela, Bolivarian Republic of</t>
  </si>
  <si>
    <t>VN</t>
  </si>
  <si>
    <t>Viet Nam</t>
  </si>
  <si>
    <t>VG</t>
  </si>
  <si>
    <t>Virgin Islands, British</t>
  </si>
  <si>
    <t>VI</t>
  </si>
  <si>
    <t>Virgin Islands, U.S.</t>
  </si>
  <si>
    <t>WF</t>
  </si>
  <si>
    <t>Wallis and Futuna</t>
  </si>
  <si>
    <t>EH</t>
  </si>
  <si>
    <t>Western Sahara</t>
  </si>
  <si>
    <t>YE</t>
  </si>
  <si>
    <t>Yemen</t>
  </si>
  <si>
    <t>ZM</t>
  </si>
  <si>
    <t>Zambia</t>
  </si>
  <si>
    <t>ZW</t>
  </si>
  <si>
    <t>Zimbabwe</t>
  </si>
  <si>
    <t>00001</t>
  </si>
  <si>
    <t>IN7603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</si>
</sst>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9" x14ac:knownFonts="1">
    <font>
      <sz val="11"/>
      <color theme="1"/>
      <name val="Calibri"/>
      <family val="2"/>
      <charset val="1"/>
    </font>
    <font>
      <b/>
      <sz val="13"/>
      <color rgb="FFFFFFFF"/>
      <name val="Arial"/>
      <charset val="1"/>
    </font>
    <font>
      <sz val="10"/>
      <color rgb="FF000000"/>
      <name val="Arial"/>
      <charset val="1"/>
    </font>
    <font>
      <b/>
      <sz val="10"/>
      <color rgb="FF1F4E78"/>
      <name val="Arial"/>
      <charset val="1"/>
    </font>
    <font>
      <b/>
      <sz val="10"/>
      <color rgb="FFFFFFFF"/>
      <name val="Arial"/>
      <charset val="1"/>
    </font>
    <font>
      <b/>
      <sz val="11"/>
      <name val="Arial"/>
      <charset val="1"/>
    </font>
    <font>
      <i/>
      <sz val="11"/>
      <color rgb="FF1F4E78"/>
      <name val="Arial"/>
      <charset val="1"/>
    </font>
    <font>
      <i/>
      <sz val="8"/>
      <color rgb="FF7F7F7F"/>
      <name val="Arial"/>
      <charset val="1"/>
    </font>
    <font>
      <b/>
      <sz val="7"/>
      <name val="Arial"/>
      <charset val="1"/>
    </font>
    <font>
      <b/>
      <sz val="8"/>
      <color rgb="FFFFFFFF"/>
      <name val="Arial"/>
      <charset val="1"/>
    </font>
    <font>
      <i/>
      <sz val="7"/>
      <name val="Arial"/>
      <charset val="1"/>
    </font>
    <font>
      <b/>
      <sz val="8"/>
      <color rgb="FF9C0006"/>
      <name val="Arial"/>
      <charset val="1"/>
    </font>
    <font>
      <sz val="8"/>
      <name val="Arial"/>
      <charset val="1"/>
    </font>
    <font>
      <i/>
      <sz val="7"/>
      <color rgb="FF7F7F7F"/>
      <name val="Arial"/>
      <charset val="1"/>
    </font>
    <font>
      <sz val="8"/>
      <color rgb="FF7F7F7F"/>
      <name val="Arial"/>
      <charset val="1"/>
    </font>
    <font>
      <sz val="9"/>
      <name val="Consolas"/>
      <charset val="1"/>
    </font>
    <font>
      <i/>
      <sz val="9"/>
      <color rgb="FF7F7F7F"/>
      <name val="Arial"/>
      <charset val="1"/>
    </font>
    <font>
      <b/>
      <sz val="10"/>
      <name val="Arial"/>
      <charset val="1"/>
    </font>
    <font>
      <b/>
      <sz val="9"/>
      <color rgb="FFFFFFFF"/>
      <name val="Arial"/>
      <charset val="1"/>
    </font>
  </fonts>
  <fills count="10">
    <fill>
      <patternFill patternType="none"/>
    </fill>
    <fill>
      <patternFill patternType="gray125"/>
    </fill>
    <fill>
      <patternFill patternType="solid">
        <fgColor rgb="FF1F4E78"/>
        <bgColor rgb="FF003366"/>
      </patternFill>
    </fill>
    <fill>
      <patternFill patternType="solid">
        <fgColor rgb="FF2E75B6"/>
        <bgColor rgb="FF0066CC"/>
      </patternFill>
    </fill>
    <fill>
      <patternFill patternType="solid">
        <fgColor rgb="FFE7E6E6"/>
        <bgColor rgb="FFE2EFDA"/>
      </patternFill>
    </fill>
    <fill>
      <patternFill patternType="solid">
        <fgColor rgb="FFFFF2CC"/>
        <bgColor rgb="FFF2F2F2"/>
      </patternFill>
    </fill>
    <fill>
      <patternFill patternType="solid">
        <fgColor rgb="FFD9E1F2"/>
        <bgColor rgb="FFDDEBF7"/>
      </patternFill>
    </fill>
    <fill>
      <patternFill patternType="solid">
        <fgColor rgb="FFE2EFDA"/>
        <bgColor rgb="FFE7E6E6"/>
      </patternFill>
    </fill>
    <fill>
      <patternFill patternType="solid">
        <fgColor rgb="FFF2F2F2"/>
        <bgColor rgb="FFE7E6E6"/>
      </patternFill>
    </fill>
    <fill>
      <patternFill patternType="solid">
        <fgColor rgb="FFDDEBF7"/>
        <bgColor rgb="FFD9E1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0">
    <xf numFmtId="0" fontId="0" fillId="0" borderId="0" xfId="0"/>
    <xf numFmtId="0" fontId="0" fillId="4" borderId="0" xfId="0" applyFill="1"/>
    <xf numFmtId="0" fontId="4" fillId="3" borderId="1" xfId="0" applyFont="1" applyFill="1" applyBorder="1" applyAlignment="1">
      <alignment horizontal="left" vertical="center" wrapText="1"/>
    </xf>
    <xf numFmtId="0" fontId="0" fillId="0" borderId="1" xfId="0" applyBorder="1" applyAlignment="1">
      <alignment horizontal="center"/>
    </xf>
    <xf numFmtId="0" fontId="0" fillId="0" borderId="1" xfId="0" applyBorder="1" applyAlignment="1">
      <alignment horizontal="left" vertical="center" wrapText="1"/>
    </xf>
    <xf numFmtId="0" fontId="0" fillId="4" borderId="1" xfId="0" applyFill="1" applyBorder="1"/>
    <xf numFmtId="0" fontId="0" fillId="5" borderId="1" xfId="0" applyFill="1" applyBorder="1"/>
    <xf numFmtId="164" fontId="0" fillId="5" borderId="1" xfId="0" applyNumberFormat="1" applyFill="1" applyBorder="1"/>
    <xf numFmtId="0" fontId="5" fillId="0" borderId="0" xfId="0" applyFont="1"/>
    <xf numFmtId="0" fontId="8" fillId="6" borderId="0" xfId="0" applyFont="1" applyFill="1"/>
    <xf numFmtId="0" fontId="8" fillId="6" borderId="0" xfId="0" applyFont="1" applyFill="1" applyAlignment="1">
      <alignment horizontal="center" vertical="center" wrapText="1"/>
    </xf>
    <xf numFmtId="0" fontId="9" fillId="3" borderId="0" xfId="0" applyFont="1" applyFill="1" applyAlignment="1">
      <alignment horizontal="center" vertical="center" wrapText="1"/>
    </xf>
    <xf numFmtId="0" fontId="9" fillId="3" borderId="1" xfId="0" applyFont="1" applyFill="1" applyBorder="1" applyAlignment="1">
      <alignment horizontal="center" vertical="center" wrapText="1"/>
    </xf>
    <xf numFmtId="0" fontId="10" fillId="0" borderId="0" xfId="0" applyFont="1"/>
    <xf numFmtId="0" fontId="11" fillId="0" borderId="0" xfId="0" applyFont="1" applyAlignment="1">
      <alignment horizontal="center"/>
    </xf>
    <xf numFmtId="0" fontId="12" fillId="0" borderId="0" xfId="0" applyFont="1" applyAlignment="1">
      <alignment horizontal="center"/>
    </xf>
    <xf numFmtId="0" fontId="13" fillId="0" borderId="0" xfId="0" applyFont="1" applyAlignment="1">
      <alignment horizontal="center"/>
    </xf>
    <xf numFmtId="0" fontId="0" fillId="4" borderId="1" xfId="0" applyFill="1" applyBorder="1" applyAlignment="1">
      <alignment horizontal="center"/>
    </xf>
    <xf numFmtId="0" fontId="0" fillId="7" borderId="1" xfId="0" applyFill="1" applyBorder="1"/>
    <xf numFmtId="0" fontId="0" fillId="8" borderId="1" xfId="0" applyFill="1" applyBorder="1"/>
    <xf numFmtId="49" fontId="0" fillId="7" borderId="1" xfId="0" applyNumberFormat="1" applyFill="1" applyBorder="1"/>
    <xf numFmtId="49" fontId="0" fillId="5" borderId="1" xfId="0" applyNumberFormat="1" applyFill="1" applyBorder="1"/>
    <xf numFmtId="0" fontId="10" fillId="4" borderId="0" xfId="0" applyFont="1" applyFill="1"/>
    <xf numFmtId="0" fontId="0" fillId="9" borderId="1" xfId="0" applyFill="1" applyBorder="1"/>
    <xf numFmtId="0" fontId="4" fillId="3" borderId="0" xfId="0" applyFont="1" applyFill="1"/>
    <xf numFmtId="0" fontId="14" fillId="6" borderId="1" xfId="0" applyFont="1" applyFill="1" applyBorder="1"/>
    <xf numFmtId="0" fontId="15" fillId="0" borderId="1" xfId="0" applyFont="1" applyBorder="1"/>
    <xf numFmtId="0" fontId="14" fillId="0" borderId="1" xfId="0" applyFont="1" applyBorder="1"/>
    <xf numFmtId="0" fontId="17" fillId="6" borderId="0" xfId="0" applyFont="1" applyFill="1"/>
    <xf numFmtId="0" fontId="18" fillId="3" borderId="0" xfId="0" applyFont="1" applyFill="1" applyAlignment="1">
      <alignment horizontal="center" vertical="center" wrapText="1"/>
    </xf>
    <xf numFmtId="0" fontId="0" fillId="0" borderId="1" xfId="0" applyBorder="1"/>
    <xf numFmtId="0" fontId="0" fillId="0" borderId="1" xfId="0" applyBorder="1" applyAlignment="1">
      <alignment horizontal="left" vertical="top" wrapText="1"/>
    </xf>
    <xf numFmtId="0" fontId="1" fillId="2" borderId="0" xfId="0" applyFont="1" applyFill="1" applyAlignment="1">
      <alignment horizontal="left" vertical="center"/>
    </xf>
    <xf numFmtId="0" fontId="2" fillId="0" borderId="0" xfId="0" applyFont="1" applyAlignment="1">
      <alignment vertical="top" wrapText="1"/>
    </xf>
    <xf numFmtId="0" fontId="3" fillId="0" borderId="0" xfId="0" applyFont="1" applyAlignment="1">
      <alignment vertical="top" wrapText="1"/>
    </xf>
    <xf numFmtId="0" fontId="0" fillId="4" borderId="0" xfId="0" applyFill="1"/>
    <xf numFmtId="0" fontId="6" fillId="0" borderId="0" xfId="0" applyFont="1"/>
    <xf numFmtId="0" fontId="7" fillId="0" borderId="0" xfId="0" applyFont="1"/>
    <xf numFmtId="0" fontId="16" fillId="0" borderId="0" xfId="0" applyFont="1"/>
    <xf numFmtId="49" fontId="0" fillId="5" borderId="1" xfId="0" quotePrefix="1" applyNumberForma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7F7F7F"/>
      <rgbColor rgb="FF9999FF"/>
      <rgbColor rgb="FF993366"/>
      <rgbColor rgb="FFFFF2C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F2F2F2"/>
      <rgbColor rgb="FFE2EFDA"/>
      <rgbColor rgb="FFE7E6E6"/>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0"/>
  <sheetViews>
    <sheetView showGridLines="0" tabSelected="1" zoomScaleNormal="100" workbookViewId="0">
      <selection activeCell="A21" sqref="A21:H21"/>
    </sheetView>
  </sheetViews>
  <sheetFormatPr defaultColWidth="8.7109375" defaultRowHeight="15" x14ac:dyDescent="0.25"/>
  <cols>
    <col min="1" max="1" width="140" customWidth="1"/>
    <col min="2" max="8" width="2" customWidth="1"/>
  </cols>
  <sheetData>
    <row r="1" spans="1:8" ht="25.5" customHeight="1" x14ac:dyDescent="0.25">
      <c r="A1" s="32" t="s">
        <v>0</v>
      </c>
      <c r="B1" s="32"/>
      <c r="C1" s="32"/>
      <c r="D1" s="32"/>
      <c r="E1" s="32"/>
      <c r="F1" s="32"/>
      <c r="G1" s="32"/>
      <c r="H1" s="32"/>
    </row>
    <row r="3" spans="1:8" ht="15" customHeight="1" x14ac:dyDescent="0.25">
      <c r="A3" s="33"/>
      <c r="B3" s="33"/>
      <c r="C3" s="33"/>
      <c r="D3" s="33"/>
      <c r="E3" s="33"/>
      <c r="F3" s="33"/>
      <c r="G3" s="33"/>
      <c r="H3" s="33"/>
    </row>
    <row r="4" spans="1:8" ht="15" customHeight="1" x14ac:dyDescent="0.25">
      <c r="A4" s="34" t="s">
        <v>1</v>
      </c>
      <c r="B4" s="34"/>
      <c r="C4" s="34"/>
      <c r="D4" s="34"/>
      <c r="E4" s="34"/>
      <c r="F4" s="34"/>
      <c r="G4" s="34"/>
      <c r="H4" s="34"/>
    </row>
    <row r="5" spans="1:8" ht="15" customHeight="1" x14ac:dyDescent="0.25">
      <c r="A5" s="33" t="s">
        <v>2</v>
      </c>
      <c r="B5" s="33"/>
      <c r="C5" s="33"/>
      <c r="D5" s="33"/>
      <c r="E5" s="33"/>
      <c r="F5" s="33"/>
      <c r="G5" s="33"/>
      <c r="H5" s="33"/>
    </row>
    <row r="6" spans="1:8" ht="15" customHeight="1" x14ac:dyDescent="0.25">
      <c r="A6" s="33" t="s">
        <v>3</v>
      </c>
      <c r="B6" s="33"/>
      <c r="C6" s="33"/>
      <c r="D6" s="33"/>
      <c r="E6" s="33"/>
      <c r="F6" s="33"/>
      <c r="G6" s="33"/>
      <c r="H6" s="33"/>
    </row>
    <row r="7" spans="1:8" ht="15" customHeight="1" x14ac:dyDescent="0.25">
      <c r="A7" s="33" t="s">
        <v>4</v>
      </c>
      <c r="B7" s="33"/>
      <c r="C7" s="33"/>
      <c r="D7" s="33"/>
      <c r="E7" s="33"/>
      <c r="F7" s="33"/>
      <c r="G7" s="33"/>
      <c r="H7" s="33"/>
    </row>
    <row r="8" spans="1:8" ht="15" customHeight="1" x14ac:dyDescent="0.25">
      <c r="A8" s="33"/>
      <c r="B8" s="33"/>
      <c r="C8" s="33"/>
      <c r="D8" s="33"/>
      <c r="E8" s="33"/>
      <c r="F8" s="33"/>
      <c r="G8" s="33"/>
      <c r="H8" s="33"/>
    </row>
    <row r="9" spans="1:8" ht="15" customHeight="1" x14ac:dyDescent="0.25">
      <c r="A9" s="34" t="s">
        <v>5</v>
      </c>
      <c r="B9" s="34"/>
      <c r="C9" s="34"/>
      <c r="D9" s="34"/>
      <c r="E9" s="34"/>
      <c r="F9" s="34"/>
      <c r="G9" s="34"/>
      <c r="H9" s="34"/>
    </row>
    <row r="10" spans="1:8" ht="15" customHeight="1" x14ac:dyDescent="0.25">
      <c r="A10" s="33" t="s">
        <v>6</v>
      </c>
      <c r="B10" s="33"/>
      <c r="C10" s="33"/>
      <c r="D10" s="33"/>
      <c r="E10" s="33"/>
      <c r="F10" s="33"/>
      <c r="G10" s="33"/>
      <c r="H10" s="33"/>
    </row>
    <row r="11" spans="1:8" ht="15" customHeight="1" x14ac:dyDescent="0.25">
      <c r="A11" s="33" t="s">
        <v>7</v>
      </c>
      <c r="B11" s="33"/>
      <c r="C11" s="33"/>
      <c r="D11" s="33"/>
      <c r="E11" s="33"/>
      <c r="F11" s="33"/>
      <c r="G11" s="33"/>
      <c r="H11" s="33"/>
    </row>
    <row r="12" spans="1:8" ht="15" customHeight="1" x14ac:dyDescent="0.25">
      <c r="A12" s="33" t="s">
        <v>8</v>
      </c>
      <c r="B12" s="33"/>
      <c r="C12" s="33"/>
      <c r="D12" s="33"/>
      <c r="E12" s="33"/>
      <c r="F12" s="33"/>
      <c r="G12" s="33"/>
      <c r="H12" s="33"/>
    </row>
    <row r="13" spans="1:8" ht="15" customHeight="1" x14ac:dyDescent="0.25">
      <c r="A13" s="33" t="s">
        <v>9</v>
      </c>
      <c r="B13" s="33"/>
      <c r="C13" s="33"/>
      <c r="D13" s="33"/>
      <c r="E13" s="33"/>
      <c r="F13" s="33"/>
      <c r="G13" s="33"/>
      <c r="H13" s="33"/>
    </row>
    <row r="14" spans="1:8" ht="15" customHeight="1" x14ac:dyDescent="0.25">
      <c r="A14" s="33" t="s">
        <v>10</v>
      </c>
      <c r="B14" s="33"/>
      <c r="C14" s="33"/>
      <c r="D14" s="33"/>
      <c r="E14" s="33"/>
      <c r="F14" s="33"/>
      <c r="G14" s="33"/>
      <c r="H14" s="33"/>
    </row>
    <row r="15" spans="1:8" ht="15" customHeight="1" x14ac:dyDescent="0.25">
      <c r="A15" s="33" t="s">
        <v>11</v>
      </c>
      <c r="B15" s="33"/>
      <c r="C15" s="33"/>
      <c r="D15" s="33"/>
      <c r="E15" s="33"/>
      <c r="F15" s="33"/>
      <c r="G15" s="33"/>
      <c r="H15" s="33"/>
    </row>
    <row r="16" spans="1:8" ht="15" customHeight="1" x14ac:dyDescent="0.25">
      <c r="A16" s="33" t="s">
        <v>12</v>
      </c>
      <c r="B16" s="33"/>
      <c r="C16" s="33"/>
      <c r="D16" s="33"/>
      <c r="E16" s="33"/>
      <c r="F16" s="33"/>
      <c r="G16" s="33"/>
      <c r="H16" s="33"/>
    </row>
    <row r="17" spans="1:8" ht="15" customHeight="1" x14ac:dyDescent="0.25">
      <c r="A17" s="33"/>
      <c r="B17" s="33"/>
      <c r="C17" s="33"/>
      <c r="D17" s="33"/>
      <c r="E17" s="33"/>
      <c r="F17" s="33"/>
      <c r="G17" s="33"/>
      <c r="H17" s="33"/>
    </row>
    <row r="18" spans="1:8" ht="15" customHeight="1" x14ac:dyDescent="0.25">
      <c r="A18" s="34" t="s">
        <v>13</v>
      </c>
      <c r="B18" s="34"/>
      <c r="C18" s="34"/>
      <c r="D18" s="34"/>
      <c r="E18" s="34"/>
      <c r="F18" s="34"/>
      <c r="G18" s="34"/>
      <c r="H18" s="34"/>
    </row>
    <row r="19" spans="1:8" ht="15" customHeight="1" x14ac:dyDescent="0.25">
      <c r="A19" s="33" t="s">
        <v>14</v>
      </c>
      <c r="B19" s="33"/>
      <c r="C19" s="33"/>
      <c r="D19" s="33"/>
      <c r="E19" s="33"/>
      <c r="F19" s="33"/>
      <c r="G19" s="33"/>
      <c r="H19" s="33"/>
    </row>
    <row r="20" spans="1:8" ht="15" customHeight="1" x14ac:dyDescent="0.25">
      <c r="A20" s="33" t="s">
        <v>15</v>
      </c>
      <c r="B20" s="33"/>
      <c r="C20" s="33"/>
      <c r="D20" s="33"/>
      <c r="E20" s="33"/>
      <c r="F20" s="33"/>
      <c r="G20" s="33"/>
      <c r="H20" s="33"/>
    </row>
    <row r="21" spans="1:8" ht="15" customHeight="1" x14ac:dyDescent="0.25">
      <c r="A21" s="33" t="s">
        <v>16</v>
      </c>
      <c r="B21" s="33"/>
      <c r="C21" s="33"/>
      <c r="D21" s="33"/>
      <c r="E21" s="33"/>
      <c r="F21" s="33"/>
      <c r="G21" s="33"/>
      <c r="H21" s="33"/>
    </row>
    <row r="22" spans="1:8" ht="15" customHeight="1" x14ac:dyDescent="0.25">
      <c r="A22" s="33" t="s">
        <v>17</v>
      </c>
      <c r="B22" s="33"/>
      <c r="C22" s="33"/>
      <c r="D22" s="33"/>
      <c r="E22" s="33"/>
      <c r="F22" s="33"/>
      <c r="G22" s="33"/>
      <c r="H22" s="33"/>
    </row>
    <row r="23" spans="1:8" ht="15" customHeight="1" x14ac:dyDescent="0.25">
      <c r="A23" s="33" t="s">
        <v>18</v>
      </c>
      <c r="B23" s="33"/>
      <c r="C23" s="33"/>
      <c r="D23" s="33"/>
      <c r="E23" s="33"/>
      <c r="F23" s="33"/>
      <c r="G23" s="33"/>
      <c r="H23" s="33"/>
    </row>
    <row r="24" spans="1:8" ht="15" customHeight="1" x14ac:dyDescent="0.25">
      <c r="A24" s="33" t="s">
        <v>19</v>
      </c>
      <c r="B24" s="33"/>
      <c r="C24" s="33"/>
      <c r="D24" s="33"/>
      <c r="E24" s="33"/>
      <c r="F24" s="33"/>
      <c r="G24" s="33"/>
      <c r="H24" s="33"/>
    </row>
    <row r="25" spans="1:8" ht="15" customHeight="1" x14ac:dyDescent="0.25">
      <c r="A25" s="33" t="s">
        <v>20</v>
      </c>
      <c r="B25" s="33"/>
      <c r="C25" s="33"/>
      <c r="D25" s="33"/>
      <c r="E25" s="33"/>
      <c r="F25" s="33"/>
      <c r="G25" s="33"/>
      <c r="H25" s="33"/>
    </row>
    <row r="26" spans="1:8" ht="15" customHeight="1" x14ac:dyDescent="0.25">
      <c r="A26" s="33" t="s">
        <v>21</v>
      </c>
      <c r="B26" s="33"/>
      <c r="C26" s="33"/>
      <c r="D26" s="33"/>
      <c r="E26" s="33"/>
      <c r="F26" s="33"/>
      <c r="G26" s="33"/>
      <c r="H26" s="33"/>
    </row>
    <row r="27" spans="1:8" ht="15" customHeight="1" x14ac:dyDescent="0.25">
      <c r="A27" s="33" t="s">
        <v>22</v>
      </c>
      <c r="B27" s="33"/>
      <c r="C27" s="33"/>
      <c r="D27" s="33"/>
      <c r="E27" s="33"/>
      <c r="F27" s="33"/>
      <c r="G27" s="33"/>
      <c r="H27" s="33"/>
    </row>
    <row r="28" spans="1:8" ht="15" customHeight="1" x14ac:dyDescent="0.25">
      <c r="A28" s="33"/>
      <c r="B28" s="33"/>
      <c r="C28" s="33"/>
      <c r="D28" s="33"/>
      <c r="E28" s="33"/>
      <c r="F28" s="33"/>
      <c r="G28" s="33"/>
      <c r="H28" s="33"/>
    </row>
    <row r="29" spans="1:8" ht="15" customHeight="1" x14ac:dyDescent="0.25">
      <c r="A29" s="33" t="s">
        <v>23</v>
      </c>
      <c r="B29" s="33"/>
      <c r="C29" s="33"/>
      <c r="D29" s="33"/>
      <c r="E29" s="33"/>
      <c r="F29" s="33"/>
      <c r="G29" s="33"/>
      <c r="H29" s="33"/>
    </row>
    <row r="30" spans="1:8" ht="15" customHeight="1" x14ac:dyDescent="0.25">
      <c r="A30" s="33" t="s">
        <v>24</v>
      </c>
      <c r="B30" s="33"/>
      <c r="C30" s="33"/>
      <c r="D30" s="33"/>
      <c r="E30" s="33"/>
      <c r="F30" s="33"/>
      <c r="G30" s="33"/>
      <c r="H30" s="33"/>
    </row>
    <row r="31" spans="1:8" ht="15" customHeight="1" x14ac:dyDescent="0.25">
      <c r="A31" s="33" t="s">
        <v>25</v>
      </c>
      <c r="B31" s="33"/>
      <c r="C31" s="33"/>
      <c r="D31" s="33"/>
      <c r="E31" s="33"/>
      <c r="F31" s="33"/>
      <c r="G31" s="33"/>
      <c r="H31" s="33"/>
    </row>
    <row r="32" spans="1:8" ht="15" customHeight="1" x14ac:dyDescent="0.25">
      <c r="A32" s="33" t="s">
        <v>26</v>
      </c>
      <c r="B32" s="33"/>
      <c r="C32" s="33"/>
      <c r="D32" s="33"/>
      <c r="E32" s="33"/>
      <c r="F32" s="33"/>
      <c r="G32" s="33"/>
      <c r="H32" s="33"/>
    </row>
    <row r="33" spans="1:8" ht="15" customHeight="1" x14ac:dyDescent="0.25">
      <c r="A33" s="33"/>
      <c r="B33" s="33"/>
      <c r="C33" s="33"/>
      <c r="D33" s="33"/>
      <c r="E33" s="33"/>
      <c r="F33" s="33"/>
      <c r="G33" s="33"/>
      <c r="H33" s="33"/>
    </row>
    <row r="34" spans="1:8" ht="15" customHeight="1" x14ac:dyDescent="0.25">
      <c r="A34" s="34" t="s">
        <v>27</v>
      </c>
      <c r="B34" s="34"/>
      <c r="C34" s="34"/>
      <c r="D34" s="34"/>
      <c r="E34" s="34"/>
      <c r="F34" s="34"/>
      <c r="G34" s="34"/>
      <c r="H34" s="34"/>
    </row>
    <row r="35" spans="1:8" ht="15" customHeight="1" x14ac:dyDescent="0.25">
      <c r="A35" s="33" t="s">
        <v>28</v>
      </c>
      <c r="B35" s="33"/>
      <c r="C35" s="33"/>
      <c r="D35" s="33"/>
      <c r="E35" s="33"/>
      <c r="F35" s="33"/>
      <c r="G35" s="33"/>
      <c r="H35" s="33"/>
    </row>
    <row r="36" spans="1:8" ht="15" customHeight="1" x14ac:dyDescent="0.25">
      <c r="A36" s="33" t="s">
        <v>29</v>
      </c>
      <c r="B36" s="33"/>
      <c r="C36" s="33"/>
      <c r="D36" s="33"/>
      <c r="E36" s="33"/>
      <c r="F36" s="33"/>
      <c r="G36" s="33"/>
      <c r="H36" s="33"/>
    </row>
    <row r="37" spans="1:8" ht="15" customHeight="1" x14ac:dyDescent="0.25">
      <c r="A37" s="33" t="s">
        <v>30</v>
      </c>
      <c r="B37" s="33"/>
      <c r="C37" s="33"/>
      <c r="D37" s="33"/>
      <c r="E37" s="33"/>
      <c r="F37" s="33"/>
      <c r="G37" s="33"/>
      <c r="H37" s="33"/>
    </row>
    <row r="38" spans="1:8" ht="15" customHeight="1" x14ac:dyDescent="0.25">
      <c r="A38" s="33" t="s">
        <v>31</v>
      </c>
      <c r="B38" s="33"/>
      <c r="C38" s="33"/>
      <c r="D38" s="33"/>
      <c r="E38" s="33"/>
      <c r="F38" s="33"/>
      <c r="G38" s="33"/>
      <c r="H38" s="33"/>
    </row>
    <row r="39" spans="1:8" ht="15" customHeight="1" x14ac:dyDescent="0.25">
      <c r="A39" s="33" t="s">
        <v>32</v>
      </c>
      <c r="B39" s="33"/>
      <c r="C39" s="33"/>
      <c r="D39" s="33"/>
      <c r="E39" s="33"/>
      <c r="F39" s="33"/>
      <c r="G39" s="33"/>
      <c r="H39" s="33"/>
    </row>
    <row r="40" spans="1:8" ht="15" customHeight="1" x14ac:dyDescent="0.25">
      <c r="A40" s="33" t="s">
        <v>33</v>
      </c>
      <c r="B40" s="33"/>
      <c r="C40" s="33"/>
      <c r="D40" s="33"/>
      <c r="E40" s="33"/>
      <c r="F40" s="33"/>
      <c r="G40" s="33"/>
      <c r="H40" s="33"/>
    </row>
  </sheetData>
  <mergeCells count="39">
    <mergeCell ref="A1:H1"/>
    <mergeCell ref="A3:H3"/>
    <mergeCell ref="A4:H4"/>
    <mergeCell ref="A5:H5"/>
    <mergeCell ref="A6:H6"/>
    <mergeCell ref="A7:H7"/>
    <mergeCell ref="A8:H8"/>
    <mergeCell ref="A9:H9"/>
    <mergeCell ref="A10:H10"/>
    <mergeCell ref="A11:H11"/>
    <mergeCell ref="A12:H12"/>
    <mergeCell ref="A13:H13"/>
    <mergeCell ref="A14:H14"/>
    <mergeCell ref="A15:H15"/>
    <mergeCell ref="A16:H16"/>
    <mergeCell ref="A17:H17"/>
    <mergeCell ref="A18:H18"/>
    <mergeCell ref="A19:H19"/>
    <mergeCell ref="A20:H20"/>
    <mergeCell ref="A21:H21"/>
    <mergeCell ref="A22:H22"/>
    <mergeCell ref="A23:H23"/>
    <mergeCell ref="A24:H24"/>
    <mergeCell ref="A25:H25"/>
    <mergeCell ref="A26:H26"/>
    <mergeCell ref="A27:H27"/>
    <mergeCell ref="A28:H28"/>
    <mergeCell ref="A29:H29"/>
    <mergeCell ref="A30:H30"/>
    <mergeCell ref="A31:H31"/>
    <mergeCell ref="A37:H37"/>
    <mergeCell ref="A38:H38"/>
    <mergeCell ref="A39:H39"/>
    <mergeCell ref="A40:H40"/>
    <mergeCell ref="A32:H32"/>
    <mergeCell ref="A33:H33"/>
    <mergeCell ref="A34:H34"/>
    <mergeCell ref="A35:H35"/>
    <mergeCell ref="A36:H3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8"/>
  <sheetViews>
    <sheetView showGridLines="0" zoomScaleNormal="100" workbookViewId="0">
      <pane xSplit="2" ySplit="3" topLeftCell="C4" activePane="bottomRight" state="frozen"/>
      <selection pane="topRight" activeCell="C1" sqref="C1"/>
      <selection pane="bottomLeft" activeCell="A4" sqref="A4"/>
      <selection pane="bottomRight" activeCell="C11" sqref="C11"/>
    </sheetView>
  </sheetViews>
  <sheetFormatPr defaultColWidth="8.7109375" defaultRowHeight="15" x14ac:dyDescent="0.25"/>
  <cols>
    <col min="1" max="1" width="6" customWidth="1"/>
    <col min="2" max="2" width="34" customWidth="1"/>
    <col min="3" max="3" width="22" customWidth="1"/>
    <col min="4" max="4" width="20" customWidth="1"/>
    <col min="5" max="5" width="42" customWidth="1"/>
  </cols>
  <sheetData>
    <row r="1" spans="1:5" ht="21.75" customHeight="1" x14ac:dyDescent="0.25">
      <c r="A1" s="32" t="s">
        <v>34</v>
      </c>
      <c r="B1" s="32"/>
      <c r="C1" s="32"/>
      <c r="D1" s="32"/>
      <c r="E1" s="32"/>
    </row>
    <row r="3" spans="1:5" ht="15" customHeight="1" x14ac:dyDescent="0.25">
      <c r="A3" s="2" t="s">
        <v>35</v>
      </c>
      <c r="B3" s="2" t="s">
        <v>36</v>
      </c>
      <c r="C3" s="2" t="s">
        <v>37</v>
      </c>
      <c r="D3" s="2" t="s">
        <v>38</v>
      </c>
      <c r="E3" s="2" t="s">
        <v>39</v>
      </c>
    </row>
    <row r="4" spans="1:5" ht="15" customHeight="1" x14ac:dyDescent="0.25">
      <c r="A4" s="3">
        <v>1</v>
      </c>
      <c r="B4" s="4" t="s">
        <v>40</v>
      </c>
      <c r="C4" s="5" t="s">
        <v>41</v>
      </c>
      <c r="D4" s="4" t="s">
        <v>42</v>
      </c>
      <c r="E4" s="4" t="s">
        <v>43</v>
      </c>
    </row>
    <row r="5" spans="1:5" ht="15" customHeight="1" x14ac:dyDescent="0.25">
      <c r="A5" s="3">
        <v>2</v>
      </c>
      <c r="B5" s="4" t="s">
        <v>44</v>
      </c>
      <c r="C5" s="39" t="s">
        <v>1209</v>
      </c>
      <c r="D5" s="4" t="s">
        <v>45</v>
      </c>
      <c r="E5" s="4"/>
    </row>
    <row r="6" spans="1:5" ht="15" customHeight="1" x14ac:dyDescent="0.25">
      <c r="A6" s="3">
        <v>3</v>
      </c>
      <c r="B6" s="4" t="s">
        <v>46</v>
      </c>
      <c r="C6" s="6" t="s">
        <v>1210</v>
      </c>
      <c r="D6" s="4" t="s">
        <v>48</v>
      </c>
      <c r="E6" s="4" t="s">
        <v>49</v>
      </c>
    </row>
    <row r="7" spans="1:5" ht="15" customHeight="1" x14ac:dyDescent="0.25">
      <c r="A7" s="3">
        <v>4</v>
      </c>
      <c r="B7" s="4" t="s">
        <v>50</v>
      </c>
      <c r="C7" s="6" t="s">
        <v>51</v>
      </c>
      <c r="D7" s="4" t="s">
        <v>52</v>
      </c>
      <c r="E7" s="4" t="s">
        <v>49</v>
      </c>
    </row>
    <row r="8" spans="1:5" ht="15" customHeight="1" x14ac:dyDescent="0.25">
      <c r="A8" s="3">
        <v>5</v>
      </c>
      <c r="B8" s="4" t="s">
        <v>53</v>
      </c>
      <c r="C8" s="5">
        <f>COUNT('Applicant (20)'!A6:A100000)</f>
        <v>1</v>
      </c>
      <c r="D8" s="4" t="s">
        <v>54</v>
      </c>
      <c r="E8" s="4"/>
    </row>
    <row r="9" spans="1:5" ht="15" customHeight="1" x14ac:dyDescent="0.25">
      <c r="A9" s="3">
        <v>6</v>
      </c>
      <c r="B9" s="4" t="s">
        <v>55</v>
      </c>
      <c r="C9" s="7">
        <v>46263</v>
      </c>
      <c r="D9" s="4" t="s">
        <v>56</v>
      </c>
      <c r="E9" s="4" t="s">
        <v>57</v>
      </c>
    </row>
    <row r="10" spans="1:5" ht="15" customHeight="1" x14ac:dyDescent="0.25">
      <c r="A10" s="3">
        <v>7</v>
      </c>
      <c r="B10" s="4" t="s">
        <v>58</v>
      </c>
      <c r="C10" s="5" t="s">
        <v>59</v>
      </c>
      <c r="D10" s="4" t="s">
        <v>60</v>
      </c>
      <c r="E10" s="4" t="s">
        <v>59</v>
      </c>
    </row>
    <row r="11" spans="1:5" ht="27.75" customHeight="1" x14ac:dyDescent="0.25">
      <c r="A11" s="3">
        <v>8</v>
      </c>
      <c r="B11" s="4" t="s">
        <v>61</v>
      </c>
      <c r="C11" s="6" t="s">
        <v>62</v>
      </c>
      <c r="D11" s="4" t="s">
        <v>42</v>
      </c>
      <c r="E11" s="4" t="s">
        <v>63</v>
      </c>
    </row>
    <row r="12" spans="1:5" ht="15" customHeight="1" x14ac:dyDescent="0.25">
      <c r="A12" s="3">
        <v>9</v>
      </c>
      <c r="B12" s="4" t="s">
        <v>64</v>
      </c>
      <c r="C12" s="6"/>
      <c r="D12" s="4" t="s">
        <v>65</v>
      </c>
      <c r="E12" s="4"/>
    </row>
    <row r="13" spans="1:5" ht="15" customHeight="1" x14ac:dyDescent="0.25">
      <c r="A13" s="3">
        <v>10</v>
      </c>
      <c r="B13" s="4" t="s">
        <v>66</v>
      </c>
      <c r="C13" s="6"/>
      <c r="D13" s="4" t="s">
        <v>65</v>
      </c>
      <c r="E13" s="4"/>
    </row>
    <row r="14" spans="1:5" ht="15" customHeight="1" x14ac:dyDescent="0.25">
      <c r="A14" s="3">
        <v>11</v>
      </c>
      <c r="B14" s="4" t="s">
        <v>67</v>
      </c>
      <c r="C14" s="6"/>
      <c r="D14" s="4" t="s">
        <v>65</v>
      </c>
      <c r="E14" s="4"/>
    </row>
    <row r="16" spans="1:5" ht="15" customHeight="1" x14ac:dyDescent="0.25">
      <c r="A16" s="8" t="s">
        <v>68</v>
      </c>
      <c r="B16" s="35" t="str">
        <f>_xlfn.TEXTJOIN("|",FALSE(),C4,C5,C6,C7,C8,TEXT(C9,"DD-MM-YYYY"),C10,C11,C12,C13,C14)</f>
        <v>10|00001|IN7603|REGION13|1|29-08-2026|V1.3|01|||</v>
      </c>
      <c r="C16" s="35"/>
      <c r="D16" s="35"/>
      <c r="E16" s="35"/>
    </row>
    <row r="17" spans="1:5" ht="15" customHeight="1" x14ac:dyDescent="0.25">
      <c r="A17" s="8" t="s">
        <v>69</v>
      </c>
      <c r="B17" s="36" t="str">
        <f>IF(C6="","",C6&amp;"_"&amp;C7&amp;"_"&amp;TEXT(C9,"DDMMYYYY")&amp;"_"&amp;C10&amp;"_&lt;YOUR USERID&gt;_U"&amp;TEXT(C5,"00000")&amp;".txt")</f>
        <v>IN7603_REGION13_29082026_V1.3_&lt;YOUR USERID&gt;_U00001.txt</v>
      </c>
      <c r="C17" s="36"/>
      <c r="D17" s="36"/>
      <c r="E17" s="36"/>
    </row>
    <row r="18" spans="1:5" ht="15" customHeight="1" x14ac:dyDescent="0.25">
      <c r="A18" s="37" t="s">
        <v>70</v>
      </c>
      <c r="B18" s="37"/>
      <c r="C18" s="37"/>
      <c r="D18" s="37"/>
      <c r="E18" s="37"/>
    </row>
  </sheetData>
  <mergeCells count="4">
    <mergeCell ref="A1:E1"/>
    <mergeCell ref="B16:E16"/>
    <mergeCell ref="B17:E17"/>
    <mergeCell ref="A18:E18"/>
  </mergeCells>
  <dataValidations count="2">
    <dataValidation type="list" allowBlank="1" sqref="C11" xr:uid="{00000000-0002-0000-0100-000000000000}">
      <formula1>"01,02"</formula1>
      <formula2>0</formula2>
    </dataValidation>
    <dataValidation operator="equal" allowBlank="1" showInputMessage="1" showErrorMessage="1" sqref="C5" xr:uid="{71E1871E-7E99-4668-8612-1685477897D9}"/>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S46"/>
  <sheetViews>
    <sheetView showGridLines="0" zoomScaleNormal="100" workbookViewId="0">
      <pane xSplit="1" ySplit="5" topLeftCell="DG6" activePane="bottomRight" state="frozen"/>
      <selection pane="topRight" activeCell="B1" sqref="B1"/>
      <selection pane="bottomLeft" activeCell="A6" sqref="A6"/>
      <selection pane="bottomRight" activeCell="BL4" sqref="BL4"/>
    </sheetView>
  </sheetViews>
  <sheetFormatPr defaultColWidth="8.7109375" defaultRowHeight="15" x14ac:dyDescent="0.25"/>
  <cols>
    <col min="1" max="1" width="8" customWidth="1"/>
    <col min="2" max="122" width="15" customWidth="1"/>
    <col min="123" max="123" width="16" customWidth="1"/>
  </cols>
  <sheetData>
    <row r="1" spans="1:123" ht="21.75" customHeight="1" x14ac:dyDescent="0.25">
      <c r="A1" s="32" t="s">
        <v>71</v>
      </c>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row>
    <row r="2" spans="1:123" ht="13.5" customHeight="1" x14ac:dyDescent="0.25">
      <c r="A2" s="9" t="s">
        <v>72</v>
      </c>
      <c r="B2" s="10" t="s">
        <v>73</v>
      </c>
      <c r="C2" s="10" t="s">
        <v>73</v>
      </c>
      <c r="D2" s="10" t="s">
        <v>73</v>
      </c>
      <c r="E2" s="10" t="s">
        <v>73</v>
      </c>
      <c r="F2" s="10" t="s">
        <v>74</v>
      </c>
      <c r="G2" s="10" t="s">
        <v>74</v>
      </c>
      <c r="H2" s="10" t="s">
        <v>74</v>
      </c>
      <c r="I2" s="10" t="s">
        <v>74</v>
      </c>
      <c r="J2" s="10" t="s">
        <v>74</v>
      </c>
      <c r="K2" s="10" t="s">
        <v>74</v>
      </c>
      <c r="L2" s="10" t="s">
        <v>74</v>
      </c>
      <c r="M2" s="10" t="s">
        <v>74</v>
      </c>
      <c r="N2" s="10" t="s">
        <v>75</v>
      </c>
      <c r="O2" s="10" t="s">
        <v>74</v>
      </c>
      <c r="P2" s="10" t="s">
        <v>76</v>
      </c>
      <c r="Q2" s="10" t="s">
        <v>76</v>
      </c>
      <c r="R2" s="10" t="s">
        <v>75</v>
      </c>
      <c r="S2" s="10" t="s">
        <v>76</v>
      </c>
      <c r="T2" s="10" t="s">
        <v>73</v>
      </c>
      <c r="U2" s="10" t="s">
        <v>76</v>
      </c>
      <c r="V2" s="10" t="s">
        <v>76</v>
      </c>
      <c r="W2" s="10" t="s">
        <v>76</v>
      </c>
      <c r="X2" s="10" t="s">
        <v>76</v>
      </c>
      <c r="Y2" s="10" t="s">
        <v>77</v>
      </c>
      <c r="Z2" s="10" t="s">
        <v>76</v>
      </c>
      <c r="AA2" s="10" t="s">
        <v>76</v>
      </c>
      <c r="AB2" s="10" t="s">
        <v>76</v>
      </c>
      <c r="AC2" s="10" t="s">
        <v>76</v>
      </c>
      <c r="AD2" s="10" t="s">
        <v>76</v>
      </c>
      <c r="AE2" s="10" t="s">
        <v>76</v>
      </c>
      <c r="AF2" s="10" t="s">
        <v>76</v>
      </c>
      <c r="AG2" s="10" t="s">
        <v>76</v>
      </c>
      <c r="AH2" s="10" t="s">
        <v>76</v>
      </c>
      <c r="AI2" s="10" t="s">
        <v>76</v>
      </c>
      <c r="AJ2" s="10" t="s">
        <v>76</v>
      </c>
      <c r="AK2" s="10" t="s">
        <v>76</v>
      </c>
      <c r="AL2" s="10" t="s">
        <v>76</v>
      </c>
      <c r="AM2" s="10" t="s">
        <v>76</v>
      </c>
      <c r="AN2" s="10" t="s">
        <v>76</v>
      </c>
      <c r="AO2" s="10" t="s">
        <v>76</v>
      </c>
      <c r="AP2" s="10" t="s">
        <v>76</v>
      </c>
      <c r="AQ2" s="10" t="s">
        <v>78</v>
      </c>
      <c r="AR2" s="10" t="s">
        <v>78</v>
      </c>
      <c r="AS2" s="10" t="s">
        <v>78</v>
      </c>
      <c r="AT2" s="10" t="s">
        <v>76</v>
      </c>
      <c r="AU2" s="10" t="s">
        <v>76</v>
      </c>
      <c r="AV2" s="10" t="s">
        <v>76</v>
      </c>
      <c r="AW2" s="10" t="s">
        <v>76</v>
      </c>
      <c r="AX2" s="10" t="s">
        <v>78</v>
      </c>
      <c r="AY2" s="10" t="s">
        <v>79</v>
      </c>
      <c r="AZ2" s="10" t="s">
        <v>76</v>
      </c>
      <c r="BA2" s="10" t="s">
        <v>76</v>
      </c>
      <c r="BB2" s="10" t="s">
        <v>76</v>
      </c>
      <c r="BC2" s="10" t="s">
        <v>76</v>
      </c>
      <c r="BD2" s="10" t="s">
        <v>76</v>
      </c>
      <c r="BE2" s="10" t="s">
        <v>76</v>
      </c>
      <c r="BF2" s="10" t="s">
        <v>76</v>
      </c>
      <c r="BG2" s="10" t="s">
        <v>76</v>
      </c>
      <c r="BH2" s="10" t="s">
        <v>78</v>
      </c>
      <c r="BI2" s="10" t="s">
        <v>78</v>
      </c>
      <c r="BJ2" s="10" t="s">
        <v>80</v>
      </c>
      <c r="BK2" s="10" t="s">
        <v>80</v>
      </c>
      <c r="BL2" s="10" t="s">
        <v>80</v>
      </c>
      <c r="BM2" s="10" t="s">
        <v>80</v>
      </c>
      <c r="BN2" s="10" t="s">
        <v>80</v>
      </c>
      <c r="BO2" s="10" t="s">
        <v>80</v>
      </c>
      <c r="BP2" s="10" t="s">
        <v>80</v>
      </c>
      <c r="BQ2" s="10" t="s">
        <v>80</v>
      </c>
      <c r="BR2" s="10" t="s">
        <v>80</v>
      </c>
      <c r="BS2" s="10" t="s">
        <v>80</v>
      </c>
      <c r="BT2" s="10" t="s">
        <v>80</v>
      </c>
      <c r="BU2" s="10" t="s">
        <v>78</v>
      </c>
      <c r="BV2" s="10" t="s">
        <v>80</v>
      </c>
      <c r="BW2" s="10" t="s">
        <v>80</v>
      </c>
      <c r="BX2" s="10" t="s">
        <v>80</v>
      </c>
      <c r="BY2" s="10" t="s">
        <v>80</v>
      </c>
      <c r="BZ2" s="10" t="s">
        <v>80</v>
      </c>
      <c r="CA2" s="10" t="s">
        <v>80</v>
      </c>
      <c r="CB2" s="10" t="s">
        <v>80</v>
      </c>
      <c r="CC2" s="10" t="s">
        <v>80</v>
      </c>
      <c r="CD2" s="10" t="s">
        <v>80</v>
      </c>
      <c r="CE2" s="10" t="s">
        <v>78</v>
      </c>
      <c r="CF2" s="10" t="s">
        <v>78</v>
      </c>
      <c r="CG2" s="10" t="s">
        <v>78</v>
      </c>
      <c r="CH2" s="10" t="s">
        <v>78</v>
      </c>
      <c r="CI2" s="10" t="s">
        <v>78</v>
      </c>
      <c r="CJ2" s="10" t="s">
        <v>78</v>
      </c>
      <c r="CK2" s="10" t="s">
        <v>78</v>
      </c>
      <c r="CL2" s="10" t="s">
        <v>78</v>
      </c>
      <c r="CM2" s="10" t="s">
        <v>78</v>
      </c>
      <c r="CN2" s="10" t="s">
        <v>78</v>
      </c>
      <c r="CO2" s="10" t="s">
        <v>81</v>
      </c>
      <c r="CP2" s="10" t="s">
        <v>81</v>
      </c>
      <c r="CQ2" s="10" t="s">
        <v>81</v>
      </c>
      <c r="CR2" s="10" t="s">
        <v>81</v>
      </c>
      <c r="CS2" s="10" t="s">
        <v>81</v>
      </c>
      <c r="CT2" s="10" t="s">
        <v>81</v>
      </c>
      <c r="CU2" s="10" t="s">
        <v>81</v>
      </c>
      <c r="CV2" s="10" t="s">
        <v>81</v>
      </c>
      <c r="CW2" s="10" t="s">
        <v>81</v>
      </c>
      <c r="CX2" s="10" t="s">
        <v>79</v>
      </c>
      <c r="CY2" s="10" t="s">
        <v>82</v>
      </c>
      <c r="CZ2" s="10" t="s">
        <v>82</v>
      </c>
      <c r="DA2" s="10" t="s">
        <v>82</v>
      </c>
      <c r="DB2" s="10" t="s">
        <v>82</v>
      </c>
      <c r="DC2" s="10" t="s">
        <v>82</v>
      </c>
      <c r="DD2" s="10" t="s">
        <v>82</v>
      </c>
      <c r="DE2" s="10" t="s">
        <v>82</v>
      </c>
      <c r="DF2" s="10" t="s">
        <v>82</v>
      </c>
      <c r="DG2" s="10" t="s">
        <v>82</v>
      </c>
      <c r="DH2" s="10" t="s">
        <v>82</v>
      </c>
      <c r="DI2" s="10" t="s">
        <v>83</v>
      </c>
      <c r="DJ2" s="10" t="s">
        <v>84</v>
      </c>
      <c r="DK2" s="10" t="s">
        <v>82</v>
      </c>
      <c r="DL2" s="10" t="s">
        <v>79</v>
      </c>
      <c r="DM2" s="10" t="s">
        <v>85</v>
      </c>
      <c r="DN2" s="10" t="s">
        <v>73</v>
      </c>
      <c r="DO2" s="10" t="s">
        <v>81</v>
      </c>
      <c r="DP2" s="10" t="s">
        <v>81</v>
      </c>
      <c r="DQ2" s="10" t="s">
        <v>81</v>
      </c>
      <c r="DR2" s="10" t="s">
        <v>73</v>
      </c>
    </row>
    <row r="3" spans="1:123" ht="30" customHeight="1" x14ac:dyDescent="0.25">
      <c r="A3" s="11" t="s">
        <v>86</v>
      </c>
      <c r="B3" s="12" t="s">
        <v>87</v>
      </c>
      <c r="C3" s="12" t="s">
        <v>88</v>
      </c>
      <c r="D3" s="12" t="s">
        <v>89</v>
      </c>
      <c r="E3" s="12" t="s">
        <v>90</v>
      </c>
      <c r="F3" s="12" t="s">
        <v>91</v>
      </c>
      <c r="G3" s="12" t="s">
        <v>92</v>
      </c>
      <c r="H3" s="12" t="s">
        <v>93</v>
      </c>
      <c r="I3" s="12" t="s">
        <v>94</v>
      </c>
      <c r="J3" s="12" t="s">
        <v>95</v>
      </c>
      <c r="K3" s="12" t="s">
        <v>96</v>
      </c>
      <c r="L3" s="12" t="s">
        <v>97</v>
      </c>
      <c r="M3" s="12" t="s">
        <v>98</v>
      </c>
      <c r="N3" s="12" t="s">
        <v>99</v>
      </c>
      <c r="O3" s="12" t="s">
        <v>100</v>
      </c>
      <c r="P3" s="12" t="s">
        <v>101</v>
      </c>
      <c r="Q3" s="12" t="s">
        <v>102</v>
      </c>
      <c r="R3" s="12" t="s">
        <v>103</v>
      </c>
      <c r="S3" s="12" t="s">
        <v>104</v>
      </c>
      <c r="T3" s="12" t="s">
        <v>105</v>
      </c>
      <c r="U3" s="12" t="s">
        <v>106</v>
      </c>
      <c r="V3" s="12" t="s">
        <v>107</v>
      </c>
      <c r="W3" s="12" t="s">
        <v>108</v>
      </c>
      <c r="X3" s="12" t="s">
        <v>109</v>
      </c>
      <c r="Y3" s="12" t="s">
        <v>110</v>
      </c>
      <c r="Z3" s="12" t="s">
        <v>111</v>
      </c>
      <c r="AA3" s="12" t="s">
        <v>112</v>
      </c>
      <c r="AB3" s="12" t="s">
        <v>113</v>
      </c>
      <c r="AC3" s="12" t="s">
        <v>114</v>
      </c>
      <c r="AD3" s="12" t="s">
        <v>115</v>
      </c>
      <c r="AE3" s="12" t="s">
        <v>116</v>
      </c>
      <c r="AF3" s="12" t="s">
        <v>117</v>
      </c>
      <c r="AG3" s="12" t="s">
        <v>118</v>
      </c>
      <c r="AH3" s="12" t="s">
        <v>119</v>
      </c>
      <c r="AI3" s="12" t="s">
        <v>120</v>
      </c>
      <c r="AJ3" s="12" t="s">
        <v>121</v>
      </c>
      <c r="AK3" s="12" t="s">
        <v>122</v>
      </c>
      <c r="AL3" s="12" t="s">
        <v>123</v>
      </c>
      <c r="AM3" s="12" t="s">
        <v>124</v>
      </c>
      <c r="AN3" s="12" t="s">
        <v>125</v>
      </c>
      <c r="AO3" s="12" t="s">
        <v>126</v>
      </c>
      <c r="AP3" s="12" t="s">
        <v>127</v>
      </c>
      <c r="AQ3" s="12" t="s">
        <v>128</v>
      </c>
      <c r="AR3" s="12" t="s">
        <v>129</v>
      </c>
      <c r="AS3" s="12" t="s">
        <v>130</v>
      </c>
      <c r="AT3" s="12" t="s">
        <v>131</v>
      </c>
      <c r="AU3" s="12" t="s">
        <v>132</v>
      </c>
      <c r="AV3" s="12" t="s">
        <v>133</v>
      </c>
      <c r="AW3" s="12" t="s">
        <v>134</v>
      </c>
      <c r="AX3" s="12" t="s">
        <v>135</v>
      </c>
      <c r="AY3" s="12" t="s">
        <v>136</v>
      </c>
      <c r="AZ3" s="12" t="s">
        <v>137</v>
      </c>
      <c r="BA3" s="12" t="s">
        <v>138</v>
      </c>
      <c r="BB3" s="12" t="s">
        <v>139</v>
      </c>
      <c r="BC3" s="12" t="s">
        <v>140</v>
      </c>
      <c r="BD3" s="12" t="s">
        <v>141</v>
      </c>
      <c r="BE3" s="12" t="s">
        <v>142</v>
      </c>
      <c r="BF3" s="12" t="s">
        <v>143</v>
      </c>
      <c r="BG3" s="12" t="s">
        <v>144</v>
      </c>
      <c r="BH3" s="12" t="s">
        <v>145</v>
      </c>
      <c r="BI3" s="12" t="s">
        <v>146</v>
      </c>
      <c r="BJ3" s="12" t="s">
        <v>147</v>
      </c>
      <c r="BK3" s="12" t="s">
        <v>148</v>
      </c>
      <c r="BL3" s="12" t="s">
        <v>149</v>
      </c>
      <c r="BM3" s="12" t="s">
        <v>150</v>
      </c>
      <c r="BN3" s="12" t="s">
        <v>151</v>
      </c>
      <c r="BO3" s="12" t="s">
        <v>152</v>
      </c>
      <c r="BP3" s="12" t="s">
        <v>153</v>
      </c>
      <c r="BQ3" s="12" t="s">
        <v>154</v>
      </c>
      <c r="BR3" s="12" t="s">
        <v>155</v>
      </c>
      <c r="BS3" s="12" t="s">
        <v>156</v>
      </c>
      <c r="BT3" s="12" t="s">
        <v>157</v>
      </c>
      <c r="BU3" s="12" t="s">
        <v>158</v>
      </c>
      <c r="BV3" s="12" t="s">
        <v>159</v>
      </c>
      <c r="BW3" s="12" t="s">
        <v>160</v>
      </c>
      <c r="BX3" s="12" t="s">
        <v>161</v>
      </c>
      <c r="BY3" s="12" t="s">
        <v>162</v>
      </c>
      <c r="BZ3" s="12" t="s">
        <v>163</v>
      </c>
      <c r="CA3" s="12" t="s">
        <v>164</v>
      </c>
      <c r="CB3" s="12" t="s">
        <v>165</v>
      </c>
      <c r="CC3" s="12" t="s">
        <v>166</v>
      </c>
      <c r="CD3" s="12" t="s">
        <v>167</v>
      </c>
      <c r="CE3" s="12" t="s">
        <v>168</v>
      </c>
      <c r="CF3" s="12" t="s">
        <v>169</v>
      </c>
      <c r="CG3" s="12" t="s">
        <v>170</v>
      </c>
      <c r="CH3" s="12" t="s">
        <v>171</v>
      </c>
      <c r="CI3" s="12" t="s">
        <v>172</v>
      </c>
      <c r="CJ3" s="12" t="s">
        <v>173</v>
      </c>
      <c r="CK3" s="12" t="s">
        <v>174</v>
      </c>
      <c r="CL3" s="12" t="s">
        <v>175</v>
      </c>
      <c r="CM3" s="12" t="s">
        <v>176</v>
      </c>
      <c r="CN3" s="12" t="s">
        <v>177</v>
      </c>
      <c r="CO3" s="12" t="s">
        <v>178</v>
      </c>
      <c r="CP3" s="12" t="s">
        <v>179</v>
      </c>
      <c r="CQ3" s="12" t="s">
        <v>180</v>
      </c>
      <c r="CR3" s="12" t="s">
        <v>181</v>
      </c>
      <c r="CS3" s="12" t="s">
        <v>182</v>
      </c>
      <c r="CT3" s="12" t="s">
        <v>183</v>
      </c>
      <c r="CU3" s="12" t="s">
        <v>184</v>
      </c>
      <c r="CV3" s="12" t="s">
        <v>185</v>
      </c>
      <c r="CW3" s="12" t="s">
        <v>186</v>
      </c>
      <c r="CX3" s="12" t="s">
        <v>187</v>
      </c>
      <c r="CY3" s="12" t="s">
        <v>188</v>
      </c>
      <c r="CZ3" s="12" t="s">
        <v>189</v>
      </c>
      <c r="DA3" s="12" t="s">
        <v>190</v>
      </c>
      <c r="DB3" s="12" t="s">
        <v>191</v>
      </c>
      <c r="DC3" s="12" t="s">
        <v>192</v>
      </c>
      <c r="DD3" s="12" t="s">
        <v>193</v>
      </c>
      <c r="DE3" s="12" t="s">
        <v>194</v>
      </c>
      <c r="DF3" s="12" t="s">
        <v>195</v>
      </c>
      <c r="DG3" s="12" t="s">
        <v>196</v>
      </c>
      <c r="DH3" s="12" t="s">
        <v>197</v>
      </c>
      <c r="DI3" s="12" t="s">
        <v>198</v>
      </c>
      <c r="DJ3" s="12" t="s">
        <v>199</v>
      </c>
      <c r="DK3" s="12" t="s">
        <v>200</v>
      </c>
      <c r="DL3" s="12" t="s">
        <v>201</v>
      </c>
      <c r="DM3" s="12" t="s">
        <v>202</v>
      </c>
      <c r="DN3" s="12" t="s">
        <v>203</v>
      </c>
      <c r="DO3" s="12" t="s">
        <v>204</v>
      </c>
      <c r="DP3" s="12" t="s">
        <v>205</v>
      </c>
      <c r="DQ3" s="12" t="s">
        <v>206</v>
      </c>
      <c r="DR3" s="12" t="s">
        <v>207</v>
      </c>
      <c r="DS3" s="13" t="s">
        <v>208</v>
      </c>
    </row>
    <row r="4" spans="1:123" ht="12" customHeight="1" x14ac:dyDescent="0.25">
      <c r="B4" s="14" t="s">
        <v>209</v>
      </c>
      <c r="C4" s="14" t="s">
        <v>209</v>
      </c>
      <c r="D4" s="14" t="s">
        <v>209</v>
      </c>
      <c r="E4" s="14" t="s">
        <v>209</v>
      </c>
      <c r="F4" s="14" t="s">
        <v>210</v>
      </c>
      <c r="G4" s="14" t="s">
        <v>210</v>
      </c>
      <c r="H4" s="14" t="s">
        <v>210</v>
      </c>
      <c r="I4" s="14" t="s">
        <v>210</v>
      </c>
      <c r="J4" s="14" t="s">
        <v>210</v>
      </c>
      <c r="K4" s="14" t="s">
        <v>210</v>
      </c>
      <c r="L4" s="14" t="s">
        <v>210</v>
      </c>
      <c r="M4" s="14" t="s">
        <v>210</v>
      </c>
      <c r="N4" s="14" t="s">
        <v>209</v>
      </c>
      <c r="O4" s="14" t="s">
        <v>210</v>
      </c>
      <c r="P4" s="14" t="s">
        <v>209</v>
      </c>
      <c r="Q4" s="14" t="s">
        <v>210</v>
      </c>
      <c r="R4" s="14" t="s">
        <v>209</v>
      </c>
      <c r="S4" s="14" t="s">
        <v>209</v>
      </c>
      <c r="T4" s="14" t="s">
        <v>209</v>
      </c>
      <c r="U4" s="14" t="s">
        <v>209</v>
      </c>
      <c r="V4" s="14" t="s">
        <v>209</v>
      </c>
      <c r="W4" s="15" t="s">
        <v>211</v>
      </c>
      <c r="X4" s="15" t="s">
        <v>211</v>
      </c>
      <c r="Y4" s="14" t="s">
        <v>210</v>
      </c>
      <c r="Z4" s="15" t="s">
        <v>211</v>
      </c>
      <c r="AA4" s="15" t="s">
        <v>211</v>
      </c>
      <c r="AB4" s="15" t="s">
        <v>211</v>
      </c>
      <c r="AC4" s="15" t="s">
        <v>211</v>
      </c>
      <c r="AD4" s="15" t="s">
        <v>212</v>
      </c>
      <c r="AE4" s="14" t="s">
        <v>210</v>
      </c>
      <c r="AF4" s="14" t="s">
        <v>210</v>
      </c>
      <c r="AG4" s="14" t="s">
        <v>210</v>
      </c>
      <c r="AH4" s="14" t="s">
        <v>210</v>
      </c>
      <c r="AI4" s="14" t="s">
        <v>210</v>
      </c>
      <c r="AJ4" s="15" t="s">
        <v>212</v>
      </c>
      <c r="AK4" s="14" t="s">
        <v>210</v>
      </c>
      <c r="AL4" s="14" t="s">
        <v>210</v>
      </c>
      <c r="AM4" s="14" t="s">
        <v>210</v>
      </c>
      <c r="AN4" s="14" t="s">
        <v>210</v>
      </c>
      <c r="AO4" s="15" t="s">
        <v>212</v>
      </c>
      <c r="AP4" s="14" t="s">
        <v>209</v>
      </c>
      <c r="AQ4" s="15"/>
      <c r="AR4" s="15"/>
      <c r="AS4" s="15"/>
      <c r="AT4" s="14" t="s">
        <v>209</v>
      </c>
      <c r="AU4" s="14" t="s">
        <v>209</v>
      </c>
      <c r="AV4" s="14" t="s">
        <v>210</v>
      </c>
      <c r="AW4" s="14" t="s">
        <v>209</v>
      </c>
      <c r="AX4" s="15"/>
      <c r="AY4" s="14" t="s">
        <v>210</v>
      </c>
      <c r="AZ4" s="15" t="s">
        <v>211</v>
      </c>
      <c r="BA4" s="14" t="s">
        <v>210</v>
      </c>
      <c r="BB4" s="14" t="s">
        <v>209</v>
      </c>
      <c r="BC4" s="14" t="s">
        <v>209</v>
      </c>
      <c r="BD4" s="14" t="s">
        <v>209</v>
      </c>
      <c r="BE4" s="14" t="s">
        <v>210</v>
      </c>
      <c r="BF4" s="14" t="s">
        <v>210</v>
      </c>
      <c r="BG4" s="14" t="s">
        <v>210</v>
      </c>
      <c r="BH4" s="15"/>
      <c r="BI4" s="15"/>
      <c r="BJ4" s="14" t="s">
        <v>209</v>
      </c>
      <c r="BK4" s="15" t="s">
        <v>211</v>
      </c>
      <c r="BL4" s="15" t="s">
        <v>211</v>
      </c>
      <c r="BM4" s="14" t="s">
        <v>209</v>
      </c>
      <c r="BN4" s="14" t="s">
        <v>210</v>
      </c>
      <c r="BO4" s="14" t="s">
        <v>209</v>
      </c>
      <c r="BP4" s="14" t="s">
        <v>209</v>
      </c>
      <c r="BQ4" s="14" t="s">
        <v>210</v>
      </c>
      <c r="BR4" s="14" t="s">
        <v>209</v>
      </c>
      <c r="BS4" s="14" t="s">
        <v>210</v>
      </c>
      <c r="BT4" s="14" t="s">
        <v>209</v>
      </c>
      <c r="BU4" s="14" t="s">
        <v>209</v>
      </c>
      <c r="BV4" s="14" t="s">
        <v>210</v>
      </c>
      <c r="BW4" s="15" t="s">
        <v>211</v>
      </c>
      <c r="BX4" s="15" t="s">
        <v>211</v>
      </c>
      <c r="BY4" s="14" t="s">
        <v>209</v>
      </c>
      <c r="BZ4" s="14" t="s">
        <v>210</v>
      </c>
      <c r="CA4" s="15"/>
      <c r="CB4" s="14" t="s">
        <v>209</v>
      </c>
      <c r="CC4" s="14" t="s">
        <v>210</v>
      </c>
      <c r="CD4" s="14" t="s">
        <v>210</v>
      </c>
      <c r="CE4" s="15"/>
      <c r="CF4" s="15"/>
      <c r="CG4" s="15"/>
      <c r="CH4" s="15"/>
      <c r="CI4" s="15"/>
      <c r="CJ4" s="15"/>
      <c r="CK4" s="15"/>
      <c r="CL4" s="15"/>
      <c r="CM4" s="15"/>
      <c r="CN4" s="15"/>
      <c r="CO4" s="14" t="s">
        <v>210</v>
      </c>
      <c r="CP4" s="14" t="s">
        <v>210</v>
      </c>
      <c r="CQ4" s="14" t="s">
        <v>210</v>
      </c>
      <c r="CR4" s="14" t="s">
        <v>210</v>
      </c>
      <c r="CS4" s="14" t="s">
        <v>210</v>
      </c>
      <c r="CT4" s="14" t="s">
        <v>210</v>
      </c>
      <c r="CU4" s="14" t="s">
        <v>210</v>
      </c>
      <c r="CV4" s="14" t="s">
        <v>210</v>
      </c>
      <c r="CW4" s="15" t="s">
        <v>211</v>
      </c>
      <c r="CX4" s="15" t="s">
        <v>211</v>
      </c>
      <c r="CY4" s="14" t="s">
        <v>209</v>
      </c>
      <c r="CZ4" s="14" t="s">
        <v>209</v>
      </c>
      <c r="DA4" s="14" t="s">
        <v>209</v>
      </c>
      <c r="DB4" s="14" t="s">
        <v>209</v>
      </c>
      <c r="DC4" s="14" t="s">
        <v>209</v>
      </c>
      <c r="DD4" s="14" t="s">
        <v>209</v>
      </c>
      <c r="DE4" s="14" t="s">
        <v>209</v>
      </c>
      <c r="DF4" s="14" t="s">
        <v>209</v>
      </c>
      <c r="DG4" s="14" t="s">
        <v>209</v>
      </c>
      <c r="DH4" s="14" t="s">
        <v>209</v>
      </c>
      <c r="DI4" s="14" t="s">
        <v>209</v>
      </c>
      <c r="DJ4" s="14" t="s">
        <v>209</v>
      </c>
      <c r="DK4" s="14" t="s">
        <v>209</v>
      </c>
      <c r="DL4" s="14" t="s">
        <v>210</v>
      </c>
      <c r="DM4" s="14" t="s">
        <v>209</v>
      </c>
      <c r="DN4" s="15" t="s">
        <v>211</v>
      </c>
      <c r="DO4" s="14" t="s">
        <v>210</v>
      </c>
      <c r="DP4" s="14" t="s">
        <v>210</v>
      </c>
      <c r="DQ4" s="15"/>
      <c r="DR4" s="14" t="s">
        <v>209</v>
      </c>
    </row>
    <row r="5" spans="1:123" ht="12" customHeight="1" x14ac:dyDescent="0.25">
      <c r="B5" s="16" t="s">
        <v>213</v>
      </c>
      <c r="C5" s="16" t="s">
        <v>214</v>
      </c>
      <c r="D5" s="16" t="s">
        <v>213</v>
      </c>
      <c r="E5" s="16" t="s">
        <v>215</v>
      </c>
      <c r="F5" s="16" t="s">
        <v>213</v>
      </c>
      <c r="G5" s="16" t="s">
        <v>213</v>
      </c>
      <c r="H5" s="16" t="s">
        <v>213</v>
      </c>
      <c r="I5" s="16" t="s">
        <v>213</v>
      </c>
      <c r="J5" s="16" t="s">
        <v>213</v>
      </c>
      <c r="K5" s="16" t="s">
        <v>213</v>
      </c>
      <c r="L5" s="16" t="s">
        <v>213</v>
      </c>
      <c r="M5" s="16" t="s">
        <v>213</v>
      </c>
      <c r="N5" s="16" t="s">
        <v>216</v>
      </c>
      <c r="O5" s="16" t="s">
        <v>213</v>
      </c>
      <c r="P5" s="16" t="s">
        <v>217</v>
      </c>
      <c r="Q5" s="16" t="s">
        <v>218</v>
      </c>
      <c r="R5" s="16" t="s">
        <v>216</v>
      </c>
      <c r="S5" s="16" t="s">
        <v>213</v>
      </c>
      <c r="T5" s="16" t="s">
        <v>219</v>
      </c>
      <c r="U5" s="16" t="s">
        <v>220</v>
      </c>
      <c r="V5" s="16" t="s">
        <v>221</v>
      </c>
      <c r="W5" s="16" t="s">
        <v>221</v>
      </c>
      <c r="X5" s="16" t="s">
        <v>221</v>
      </c>
      <c r="Y5" s="16" t="s">
        <v>222</v>
      </c>
      <c r="Z5" s="16" t="s">
        <v>220</v>
      </c>
      <c r="AA5" s="16" t="s">
        <v>221</v>
      </c>
      <c r="AB5" s="16" t="s">
        <v>221</v>
      </c>
      <c r="AC5" s="16" t="s">
        <v>221</v>
      </c>
      <c r="AD5" s="16" t="s">
        <v>222</v>
      </c>
      <c r="AE5" s="16" t="s">
        <v>213</v>
      </c>
      <c r="AF5" s="16" t="s">
        <v>220</v>
      </c>
      <c r="AG5" s="16" t="s">
        <v>221</v>
      </c>
      <c r="AH5" s="16" t="s">
        <v>221</v>
      </c>
      <c r="AI5" s="16" t="s">
        <v>221</v>
      </c>
      <c r="AJ5" s="16" t="s">
        <v>222</v>
      </c>
      <c r="AK5" s="16" t="s">
        <v>220</v>
      </c>
      <c r="AL5" s="16" t="s">
        <v>221</v>
      </c>
      <c r="AM5" s="16" t="s">
        <v>221</v>
      </c>
      <c r="AN5" s="16" t="s">
        <v>221</v>
      </c>
      <c r="AO5" s="16" t="s">
        <v>222</v>
      </c>
      <c r="AP5" s="16" t="s">
        <v>223</v>
      </c>
      <c r="AQ5" s="16"/>
      <c r="AR5" s="16"/>
      <c r="AS5" s="16"/>
      <c r="AT5" s="16" t="s">
        <v>224</v>
      </c>
      <c r="AU5" s="16" t="s">
        <v>221</v>
      </c>
      <c r="AV5" s="16" t="s">
        <v>224</v>
      </c>
      <c r="AW5" s="16" t="s">
        <v>225</v>
      </c>
      <c r="AX5" s="16"/>
      <c r="AY5" s="16" t="s">
        <v>224</v>
      </c>
      <c r="AZ5" s="16" t="s">
        <v>218</v>
      </c>
      <c r="BA5" s="16" t="s">
        <v>225</v>
      </c>
      <c r="BB5" s="16" t="s">
        <v>226</v>
      </c>
      <c r="BC5" s="16" t="s">
        <v>213</v>
      </c>
      <c r="BD5" s="16" t="s">
        <v>227</v>
      </c>
      <c r="BE5" s="16" t="s">
        <v>228</v>
      </c>
      <c r="BF5" s="16" t="s">
        <v>229</v>
      </c>
      <c r="BG5" s="16" t="s">
        <v>230</v>
      </c>
      <c r="BH5" s="16"/>
      <c r="BI5" s="16"/>
      <c r="BJ5" s="16" t="s">
        <v>231</v>
      </c>
      <c r="BK5" s="16" t="s">
        <v>231</v>
      </c>
      <c r="BL5" s="16" t="s">
        <v>231</v>
      </c>
      <c r="BM5" s="16" t="s">
        <v>232</v>
      </c>
      <c r="BN5" s="16" t="s">
        <v>221</v>
      </c>
      <c r="BO5" s="16" t="s">
        <v>225</v>
      </c>
      <c r="BP5" s="16" t="s">
        <v>225</v>
      </c>
      <c r="BQ5" s="16" t="s">
        <v>233</v>
      </c>
      <c r="BR5" s="16" t="s">
        <v>234</v>
      </c>
      <c r="BS5" s="16" t="s">
        <v>235</v>
      </c>
      <c r="BT5" s="16" t="s">
        <v>223</v>
      </c>
      <c r="BU5" s="16" t="s">
        <v>213</v>
      </c>
      <c r="BV5" s="16" t="s">
        <v>236</v>
      </c>
      <c r="BW5" s="16" t="s">
        <v>236</v>
      </c>
      <c r="BX5" s="16" t="s">
        <v>236</v>
      </c>
      <c r="BY5" s="16" t="s">
        <v>232</v>
      </c>
      <c r="BZ5" s="16" t="s">
        <v>221</v>
      </c>
      <c r="CA5" s="16" t="s">
        <v>225</v>
      </c>
      <c r="CB5" s="16" t="s">
        <v>234</v>
      </c>
      <c r="CC5" s="16" t="s">
        <v>233</v>
      </c>
      <c r="CD5" s="16" t="s">
        <v>225</v>
      </c>
      <c r="CE5" s="16"/>
      <c r="CF5" s="16"/>
      <c r="CG5" s="16"/>
      <c r="CH5" s="16"/>
      <c r="CI5" s="16"/>
      <c r="CJ5" s="16"/>
      <c r="CK5" s="16"/>
      <c r="CL5" s="16"/>
      <c r="CM5" s="16"/>
      <c r="CN5" s="16"/>
      <c r="CO5" s="16" t="s">
        <v>237</v>
      </c>
      <c r="CP5" s="16" t="s">
        <v>215</v>
      </c>
      <c r="CQ5" s="16" t="s">
        <v>237</v>
      </c>
      <c r="CR5" s="16" t="s">
        <v>215</v>
      </c>
      <c r="CS5" s="16" t="s">
        <v>229</v>
      </c>
      <c r="CT5" s="16" t="s">
        <v>216</v>
      </c>
      <c r="CU5" s="16" t="s">
        <v>237</v>
      </c>
      <c r="CV5" s="16" t="s">
        <v>215</v>
      </c>
      <c r="CW5" s="16" t="s">
        <v>238</v>
      </c>
      <c r="CX5" s="16" t="s">
        <v>239</v>
      </c>
      <c r="CY5" s="16" t="s">
        <v>224</v>
      </c>
      <c r="CZ5" s="16" t="s">
        <v>221</v>
      </c>
      <c r="DA5" s="16" t="s">
        <v>224</v>
      </c>
      <c r="DB5" s="16" t="s">
        <v>213</v>
      </c>
      <c r="DC5" s="16" t="s">
        <v>222</v>
      </c>
      <c r="DD5" s="16" t="s">
        <v>221</v>
      </c>
      <c r="DE5" s="16" t="s">
        <v>221</v>
      </c>
      <c r="DF5" s="16" t="s">
        <v>221</v>
      </c>
      <c r="DG5" s="16" t="s">
        <v>222</v>
      </c>
      <c r="DH5" s="16" t="s">
        <v>240</v>
      </c>
      <c r="DI5" s="16" t="s">
        <v>213</v>
      </c>
      <c r="DJ5" s="16" t="s">
        <v>229</v>
      </c>
      <c r="DK5" s="16" t="s">
        <v>213</v>
      </c>
      <c r="DL5" s="16" t="s">
        <v>241</v>
      </c>
      <c r="DM5" s="16" t="s">
        <v>213</v>
      </c>
      <c r="DN5" s="16" t="s">
        <v>242</v>
      </c>
      <c r="DO5" s="16" t="s">
        <v>229</v>
      </c>
      <c r="DP5" s="16" t="s">
        <v>216</v>
      </c>
      <c r="DQ5" s="16"/>
      <c r="DR5" s="16" t="s">
        <v>219</v>
      </c>
    </row>
    <row r="6" spans="1:123" ht="13.5" customHeight="1" x14ac:dyDescent="0.25">
      <c r="A6" s="17">
        <f t="shared" ref="A6:A46" si="0">IF(E6="","",ROW()-5)</f>
        <v>1</v>
      </c>
      <c r="B6" s="5" t="s">
        <v>243</v>
      </c>
      <c r="C6" s="5" t="s">
        <v>244</v>
      </c>
      <c r="D6" s="5" t="s">
        <v>62</v>
      </c>
      <c r="E6" s="18" t="s">
        <v>245</v>
      </c>
      <c r="F6" s="19"/>
      <c r="G6" s="19"/>
      <c r="H6" s="19"/>
      <c r="I6" s="19"/>
      <c r="J6" s="19"/>
      <c r="K6" s="19"/>
      <c r="L6" s="19"/>
      <c r="M6" s="19"/>
      <c r="N6" s="19" t="s">
        <v>246</v>
      </c>
      <c r="O6" s="19"/>
      <c r="P6" s="18" t="s">
        <v>62</v>
      </c>
      <c r="Q6" s="18"/>
      <c r="R6" s="19" t="s">
        <v>244</v>
      </c>
      <c r="S6" s="18" t="s">
        <v>62</v>
      </c>
      <c r="T6" s="18" t="s">
        <v>247</v>
      </c>
      <c r="U6" s="18" t="s">
        <v>248</v>
      </c>
      <c r="V6" s="18" t="s">
        <v>249</v>
      </c>
      <c r="W6" s="18" t="s">
        <v>250</v>
      </c>
      <c r="X6" s="18" t="s">
        <v>251</v>
      </c>
      <c r="Y6" s="18"/>
      <c r="Z6" s="18"/>
      <c r="AA6" s="18"/>
      <c r="AB6" s="18"/>
      <c r="AC6" s="18"/>
      <c r="AD6" s="18"/>
      <c r="AE6" s="18" t="s">
        <v>62</v>
      </c>
      <c r="AF6" s="18" t="s">
        <v>252</v>
      </c>
      <c r="AG6" s="18" t="s">
        <v>253</v>
      </c>
      <c r="AH6" s="18" t="s">
        <v>254</v>
      </c>
      <c r="AI6" s="18" t="s">
        <v>255</v>
      </c>
      <c r="AJ6" s="18"/>
      <c r="AK6" s="18"/>
      <c r="AL6" s="18"/>
      <c r="AM6" s="18"/>
      <c r="AN6" s="18"/>
      <c r="AO6" s="18"/>
      <c r="AP6" s="18" t="s">
        <v>209</v>
      </c>
      <c r="AQ6" s="19"/>
      <c r="AR6" s="19"/>
      <c r="AS6" s="19"/>
      <c r="AT6" s="20" t="s">
        <v>256</v>
      </c>
      <c r="AU6" s="18"/>
      <c r="AV6" s="20"/>
      <c r="AW6" s="18"/>
      <c r="AX6" s="19"/>
      <c r="AY6" s="19"/>
      <c r="AZ6" s="18"/>
      <c r="BA6" s="18"/>
      <c r="BB6" s="18" t="s">
        <v>257</v>
      </c>
      <c r="BC6" s="18" t="s">
        <v>62</v>
      </c>
      <c r="BD6" s="18" t="s">
        <v>244</v>
      </c>
      <c r="BE6" s="18" t="s">
        <v>244</v>
      </c>
      <c r="BF6" s="18" t="s">
        <v>258</v>
      </c>
      <c r="BG6" s="18" t="s">
        <v>259</v>
      </c>
      <c r="BH6" s="19"/>
      <c r="BI6" s="19"/>
      <c r="BJ6" s="18" t="s">
        <v>260</v>
      </c>
      <c r="BK6" s="18" t="s">
        <v>261</v>
      </c>
      <c r="BL6" s="18" t="s">
        <v>262</v>
      </c>
      <c r="BM6" s="18" t="s">
        <v>263</v>
      </c>
      <c r="BN6" s="18" t="s">
        <v>263</v>
      </c>
      <c r="BO6" s="18" t="s">
        <v>264</v>
      </c>
      <c r="BP6" s="18" t="s">
        <v>265</v>
      </c>
      <c r="BQ6" s="18" t="s">
        <v>266</v>
      </c>
      <c r="BR6" s="18" t="s">
        <v>267</v>
      </c>
      <c r="BS6" s="18"/>
      <c r="BT6" s="18" t="s">
        <v>268</v>
      </c>
      <c r="BU6" s="19"/>
      <c r="BV6" s="18" t="s">
        <v>269</v>
      </c>
      <c r="BW6" s="18" t="s">
        <v>270</v>
      </c>
      <c r="BX6" s="18" t="s">
        <v>271</v>
      </c>
      <c r="BY6" s="18" t="s">
        <v>263</v>
      </c>
      <c r="BZ6" s="18" t="s">
        <v>263</v>
      </c>
      <c r="CA6" s="18" t="s">
        <v>264</v>
      </c>
      <c r="CB6" s="18" t="s">
        <v>265</v>
      </c>
      <c r="CC6" s="18" t="s">
        <v>266</v>
      </c>
      <c r="CD6" s="18" t="s">
        <v>267</v>
      </c>
      <c r="CE6" s="19"/>
      <c r="CF6" s="19"/>
      <c r="CG6" s="19"/>
      <c r="CH6" s="19"/>
      <c r="CI6" s="19"/>
      <c r="CJ6" s="19"/>
      <c r="CK6" s="19"/>
      <c r="CL6" s="19"/>
      <c r="CM6" s="19"/>
      <c r="CN6" s="19"/>
      <c r="CO6" s="18"/>
      <c r="CP6" s="18"/>
      <c r="CQ6" s="18"/>
      <c r="CR6" s="18"/>
      <c r="CS6" s="18"/>
      <c r="CT6" s="18" t="s">
        <v>272</v>
      </c>
      <c r="CU6" s="18"/>
      <c r="CV6" s="18"/>
      <c r="CW6" s="18" t="s">
        <v>273</v>
      </c>
      <c r="CX6" s="18"/>
      <c r="CY6" s="20" t="s">
        <v>274</v>
      </c>
      <c r="CZ6" s="18" t="s">
        <v>275</v>
      </c>
      <c r="DA6" s="20" t="s">
        <v>274</v>
      </c>
      <c r="DB6" s="18" t="s">
        <v>267</v>
      </c>
      <c r="DC6" s="18" t="s">
        <v>276</v>
      </c>
      <c r="DD6" s="18" t="s">
        <v>277</v>
      </c>
      <c r="DE6" s="18" t="s">
        <v>278</v>
      </c>
      <c r="DF6" s="18" t="s">
        <v>279</v>
      </c>
      <c r="DG6" s="18" t="s">
        <v>280</v>
      </c>
      <c r="DH6" s="18" t="s">
        <v>47</v>
      </c>
      <c r="DI6" s="5" t="s">
        <v>244</v>
      </c>
      <c r="DJ6" s="5" t="s">
        <v>244</v>
      </c>
      <c r="DK6" s="18"/>
      <c r="DL6" s="19"/>
      <c r="DM6" s="5" t="s">
        <v>281</v>
      </c>
      <c r="DN6" s="19"/>
      <c r="DO6" s="18"/>
      <c r="DP6" s="18"/>
      <c r="DQ6" s="18"/>
      <c r="DR6" s="19"/>
      <c r="DS6" s="1" t="str">
        <f t="shared" ref="DS6:DS46" si="1">IF(A6="","",_xlfn.TEXTJOIN("|",FALSE(),B6:DR6))</f>
        <v>20|1|01|BRANCH13|||||||||11||01||1|01|40037412143945|FIO|lego|ihfs|khda|||||||01|ikuhe|ukf|keu|kd|||||||M||||15-07-1982||||||||FORM60|01|1|1|34|AB1234567891234567|||uiahuh|usfwf|afea|Coimbatore|Coimbatore|TN|IN|641004|02||Y||uiahfiewufweiuh|usdahfiefwf|awefwfea|Coimbatore|Coimbatore|TN|IN|641004|02||||||||||||||||7709047001|||sameer.dalal@ltimindtree.com||01-08-2024|awefweawe|01-08-2024|02|waefwefwaa|sadfasd|fawefawef|sdfewa|FI Testing|IN6488|1|1|||2|||||</v>
      </c>
    </row>
    <row r="7" spans="1:123" ht="13.5" customHeight="1" x14ac:dyDescent="0.25">
      <c r="A7" s="17" t="str">
        <f t="shared" si="0"/>
        <v/>
      </c>
      <c r="B7" s="5"/>
      <c r="C7" s="5"/>
      <c r="D7" s="5"/>
      <c r="E7" s="6"/>
      <c r="F7" s="19"/>
      <c r="G7" s="19"/>
      <c r="H7" s="19"/>
      <c r="I7" s="19"/>
      <c r="J7" s="19"/>
      <c r="K7" s="19"/>
      <c r="L7" s="19"/>
      <c r="M7" s="19"/>
      <c r="N7" s="19"/>
      <c r="O7" s="19"/>
      <c r="P7" s="6"/>
      <c r="Q7" s="6"/>
      <c r="R7" s="19"/>
      <c r="S7" s="6"/>
      <c r="T7" s="6"/>
      <c r="U7" s="6"/>
      <c r="V7" s="6"/>
      <c r="W7" s="6"/>
      <c r="X7" s="6"/>
      <c r="Y7" s="6"/>
      <c r="Z7" s="6"/>
      <c r="AA7" s="6"/>
      <c r="AB7" s="6"/>
      <c r="AC7" s="6"/>
      <c r="AD7" s="6"/>
      <c r="AE7" s="6"/>
      <c r="AF7" s="6"/>
      <c r="AG7" s="6"/>
      <c r="AH7" s="6"/>
      <c r="AI7" s="6"/>
      <c r="AJ7" s="6"/>
      <c r="AK7" s="6"/>
      <c r="AL7" s="6"/>
      <c r="AM7" s="6"/>
      <c r="AN7" s="6"/>
      <c r="AO7" s="6"/>
      <c r="AP7" s="6"/>
      <c r="AQ7" s="19"/>
      <c r="AR7" s="19"/>
      <c r="AS7" s="19"/>
      <c r="AT7" s="21"/>
      <c r="AU7" s="6"/>
      <c r="AV7" s="21"/>
      <c r="AW7" s="6"/>
      <c r="AX7" s="19"/>
      <c r="AY7" s="19"/>
      <c r="AZ7" s="6"/>
      <c r="BA7" s="6"/>
      <c r="BB7" s="6"/>
      <c r="BC7" s="6"/>
      <c r="BD7" s="6"/>
      <c r="BE7" s="6"/>
      <c r="BF7" s="6"/>
      <c r="BG7" s="6"/>
      <c r="BH7" s="19"/>
      <c r="BI7" s="19"/>
      <c r="BJ7" s="6"/>
      <c r="BK7" s="6"/>
      <c r="BL7" s="6"/>
      <c r="BM7" s="6"/>
      <c r="BN7" s="6"/>
      <c r="BO7" s="6"/>
      <c r="BP7" s="6"/>
      <c r="BQ7" s="6"/>
      <c r="BR7" s="6"/>
      <c r="BS7" s="6"/>
      <c r="BT7" s="6"/>
      <c r="BU7" s="19"/>
      <c r="BV7" s="6"/>
      <c r="BW7" s="6"/>
      <c r="BX7" s="6"/>
      <c r="BY7" s="6"/>
      <c r="BZ7" s="6"/>
      <c r="CA7" s="6"/>
      <c r="CB7" s="6"/>
      <c r="CC7" s="6"/>
      <c r="CD7" s="6"/>
      <c r="CE7" s="19"/>
      <c r="CF7" s="19"/>
      <c r="CG7" s="19"/>
      <c r="CH7" s="19"/>
      <c r="CI7" s="19"/>
      <c r="CJ7" s="19"/>
      <c r="CK7" s="19"/>
      <c r="CL7" s="19"/>
      <c r="CM7" s="19"/>
      <c r="CN7" s="19"/>
      <c r="CO7" s="6"/>
      <c r="CP7" s="6"/>
      <c r="CQ7" s="6"/>
      <c r="CR7" s="6"/>
      <c r="CS7" s="6"/>
      <c r="CT7" s="6"/>
      <c r="CU7" s="6"/>
      <c r="CV7" s="6"/>
      <c r="CW7" s="6"/>
      <c r="CX7" s="6"/>
      <c r="CY7" s="21"/>
      <c r="CZ7" s="6"/>
      <c r="DA7" s="21"/>
      <c r="DB7" s="6"/>
      <c r="DC7" s="6"/>
      <c r="DD7" s="6"/>
      <c r="DE7" s="6"/>
      <c r="DF7" s="6"/>
      <c r="DG7" s="6"/>
      <c r="DH7" s="6"/>
      <c r="DI7" s="5"/>
      <c r="DJ7" s="5"/>
      <c r="DK7" s="6"/>
      <c r="DL7" s="19"/>
      <c r="DM7" s="5"/>
      <c r="DN7" s="19"/>
      <c r="DO7" s="6"/>
      <c r="DP7" s="6"/>
      <c r="DQ7" s="6"/>
      <c r="DR7" s="19"/>
      <c r="DS7" s="1" t="str">
        <f t="shared" si="1"/>
        <v/>
      </c>
    </row>
    <row r="8" spans="1:123" ht="13.5" customHeight="1" x14ac:dyDescent="0.25">
      <c r="A8" s="17" t="str">
        <f t="shared" si="0"/>
        <v/>
      </c>
      <c r="B8" s="5"/>
      <c r="C8" s="5"/>
      <c r="D8" s="5"/>
      <c r="E8" s="6"/>
      <c r="F8" s="19"/>
      <c r="G8" s="19"/>
      <c r="H8" s="19"/>
      <c r="I8" s="19"/>
      <c r="J8" s="19"/>
      <c r="K8" s="19"/>
      <c r="L8" s="19"/>
      <c r="M8" s="19"/>
      <c r="N8" s="19"/>
      <c r="O8" s="19"/>
      <c r="P8" s="6"/>
      <c r="Q8" s="6"/>
      <c r="R8" s="19"/>
      <c r="S8" s="6"/>
      <c r="T8" s="6"/>
      <c r="U8" s="6"/>
      <c r="V8" s="6"/>
      <c r="W8" s="6"/>
      <c r="X8" s="6"/>
      <c r="Y8" s="6"/>
      <c r="Z8" s="6"/>
      <c r="AA8" s="6"/>
      <c r="AB8" s="6"/>
      <c r="AC8" s="6"/>
      <c r="AD8" s="6"/>
      <c r="AE8" s="6"/>
      <c r="AF8" s="6"/>
      <c r="AG8" s="6"/>
      <c r="AH8" s="6"/>
      <c r="AI8" s="6"/>
      <c r="AJ8" s="6"/>
      <c r="AK8" s="6"/>
      <c r="AL8" s="6"/>
      <c r="AM8" s="6"/>
      <c r="AN8" s="6"/>
      <c r="AO8" s="6"/>
      <c r="AP8" s="6"/>
      <c r="AQ8" s="19"/>
      <c r="AR8" s="19"/>
      <c r="AS8" s="19"/>
      <c r="AT8" s="21"/>
      <c r="AU8" s="6"/>
      <c r="AV8" s="21"/>
      <c r="AW8" s="6"/>
      <c r="AX8" s="19"/>
      <c r="AY8" s="19"/>
      <c r="AZ8" s="6"/>
      <c r="BA8" s="6"/>
      <c r="BB8" s="6"/>
      <c r="BC8" s="6"/>
      <c r="BD8" s="6"/>
      <c r="BE8" s="6"/>
      <c r="BF8" s="6"/>
      <c r="BG8" s="6"/>
      <c r="BH8" s="19"/>
      <c r="BI8" s="19"/>
      <c r="BJ8" s="6"/>
      <c r="BK8" s="6"/>
      <c r="BL8" s="6"/>
      <c r="BM8" s="6"/>
      <c r="BN8" s="6"/>
      <c r="BO8" s="6"/>
      <c r="BP8" s="6"/>
      <c r="BQ8" s="6"/>
      <c r="BR8" s="6"/>
      <c r="BS8" s="6"/>
      <c r="BT8" s="6"/>
      <c r="BU8" s="19"/>
      <c r="BV8" s="6"/>
      <c r="BW8" s="6"/>
      <c r="BX8" s="6"/>
      <c r="BY8" s="6"/>
      <c r="BZ8" s="6"/>
      <c r="CA8" s="6"/>
      <c r="CB8" s="6"/>
      <c r="CC8" s="6"/>
      <c r="CD8" s="6"/>
      <c r="CE8" s="19"/>
      <c r="CF8" s="19"/>
      <c r="CG8" s="19"/>
      <c r="CH8" s="19"/>
      <c r="CI8" s="19"/>
      <c r="CJ8" s="19"/>
      <c r="CK8" s="19"/>
      <c r="CL8" s="19"/>
      <c r="CM8" s="19"/>
      <c r="CN8" s="19"/>
      <c r="CO8" s="6"/>
      <c r="CP8" s="6"/>
      <c r="CQ8" s="6"/>
      <c r="CR8" s="6"/>
      <c r="CS8" s="6"/>
      <c r="CT8" s="6"/>
      <c r="CU8" s="6"/>
      <c r="CV8" s="6"/>
      <c r="CW8" s="6"/>
      <c r="CX8" s="6"/>
      <c r="CY8" s="21"/>
      <c r="CZ8" s="6"/>
      <c r="DA8" s="21"/>
      <c r="DB8" s="6"/>
      <c r="DC8" s="6"/>
      <c r="DD8" s="6"/>
      <c r="DE8" s="6"/>
      <c r="DF8" s="6"/>
      <c r="DG8" s="6"/>
      <c r="DH8" s="6"/>
      <c r="DI8" s="5"/>
      <c r="DJ8" s="5"/>
      <c r="DK8" s="6"/>
      <c r="DL8" s="19"/>
      <c r="DM8" s="5"/>
      <c r="DN8" s="19"/>
      <c r="DO8" s="6"/>
      <c r="DP8" s="6"/>
      <c r="DQ8" s="6"/>
      <c r="DR8" s="19"/>
      <c r="DS8" s="1" t="str">
        <f t="shared" si="1"/>
        <v/>
      </c>
    </row>
    <row r="9" spans="1:123" ht="13.5" customHeight="1" x14ac:dyDescent="0.25">
      <c r="A9" s="17" t="str">
        <f t="shared" si="0"/>
        <v/>
      </c>
      <c r="B9" s="5"/>
      <c r="C9" s="5"/>
      <c r="D9" s="5"/>
      <c r="E9" s="6"/>
      <c r="F9" s="19"/>
      <c r="G9" s="19"/>
      <c r="H9" s="19"/>
      <c r="I9" s="19"/>
      <c r="J9" s="19"/>
      <c r="K9" s="19"/>
      <c r="L9" s="19"/>
      <c r="M9" s="19"/>
      <c r="N9" s="19"/>
      <c r="O9" s="19"/>
      <c r="P9" s="6"/>
      <c r="Q9" s="6"/>
      <c r="R9" s="19"/>
      <c r="S9" s="6"/>
      <c r="T9" s="6"/>
      <c r="U9" s="6"/>
      <c r="V9" s="6"/>
      <c r="W9" s="6"/>
      <c r="X9" s="6"/>
      <c r="Y9" s="6"/>
      <c r="Z9" s="6"/>
      <c r="AA9" s="6"/>
      <c r="AB9" s="6"/>
      <c r="AC9" s="6"/>
      <c r="AD9" s="6"/>
      <c r="AE9" s="6"/>
      <c r="AF9" s="6"/>
      <c r="AG9" s="6"/>
      <c r="AH9" s="6"/>
      <c r="AI9" s="6"/>
      <c r="AJ9" s="6"/>
      <c r="AK9" s="6"/>
      <c r="AL9" s="6"/>
      <c r="AM9" s="6"/>
      <c r="AN9" s="6"/>
      <c r="AO9" s="6"/>
      <c r="AP9" s="6"/>
      <c r="AQ9" s="19"/>
      <c r="AR9" s="19"/>
      <c r="AS9" s="19"/>
      <c r="AT9" s="21"/>
      <c r="AU9" s="6"/>
      <c r="AV9" s="21"/>
      <c r="AW9" s="6"/>
      <c r="AX9" s="19"/>
      <c r="AY9" s="19"/>
      <c r="AZ9" s="6"/>
      <c r="BA9" s="6"/>
      <c r="BB9" s="6"/>
      <c r="BC9" s="6"/>
      <c r="BD9" s="6"/>
      <c r="BE9" s="6"/>
      <c r="BF9" s="6"/>
      <c r="BG9" s="6"/>
      <c r="BH9" s="19"/>
      <c r="BI9" s="19"/>
      <c r="BJ9" s="6"/>
      <c r="BK9" s="6"/>
      <c r="BL9" s="6"/>
      <c r="BM9" s="6"/>
      <c r="BN9" s="6"/>
      <c r="BO9" s="6"/>
      <c r="BP9" s="6"/>
      <c r="BQ9" s="6"/>
      <c r="BR9" s="6"/>
      <c r="BS9" s="6"/>
      <c r="BT9" s="6"/>
      <c r="BU9" s="19"/>
      <c r="BV9" s="6"/>
      <c r="BW9" s="6"/>
      <c r="BX9" s="6"/>
      <c r="BY9" s="6"/>
      <c r="BZ9" s="6"/>
      <c r="CA9" s="6"/>
      <c r="CB9" s="6"/>
      <c r="CC9" s="6"/>
      <c r="CD9" s="6"/>
      <c r="CE9" s="19"/>
      <c r="CF9" s="19"/>
      <c r="CG9" s="19"/>
      <c r="CH9" s="19"/>
      <c r="CI9" s="19"/>
      <c r="CJ9" s="19"/>
      <c r="CK9" s="19"/>
      <c r="CL9" s="19"/>
      <c r="CM9" s="19"/>
      <c r="CN9" s="19"/>
      <c r="CO9" s="6"/>
      <c r="CP9" s="6"/>
      <c r="CQ9" s="6"/>
      <c r="CR9" s="6"/>
      <c r="CS9" s="6"/>
      <c r="CT9" s="6"/>
      <c r="CU9" s="6"/>
      <c r="CV9" s="6"/>
      <c r="CW9" s="6"/>
      <c r="CX9" s="6"/>
      <c r="CY9" s="21"/>
      <c r="CZ9" s="6"/>
      <c r="DA9" s="21"/>
      <c r="DB9" s="6"/>
      <c r="DC9" s="6"/>
      <c r="DD9" s="6"/>
      <c r="DE9" s="6"/>
      <c r="DF9" s="6"/>
      <c r="DG9" s="6"/>
      <c r="DH9" s="6"/>
      <c r="DI9" s="5"/>
      <c r="DJ9" s="5"/>
      <c r="DK9" s="6"/>
      <c r="DL9" s="19"/>
      <c r="DM9" s="5"/>
      <c r="DN9" s="19"/>
      <c r="DO9" s="6"/>
      <c r="DP9" s="6"/>
      <c r="DQ9" s="6"/>
      <c r="DR9" s="19"/>
      <c r="DS9" s="1" t="str">
        <f t="shared" si="1"/>
        <v/>
      </c>
    </row>
    <row r="10" spans="1:123" ht="13.5" customHeight="1" x14ac:dyDescent="0.25">
      <c r="A10" s="17" t="str">
        <f t="shared" si="0"/>
        <v/>
      </c>
      <c r="B10" s="5"/>
      <c r="C10" s="5"/>
      <c r="D10" s="5"/>
      <c r="E10" s="6"/>
      <c r="F10" s="19"/>
      <c r="G10" s="19"/>
      <c r="H10" s="19"/>
      <c r="I10" s="19"/>
      <c r="J10" s="19"/>
      <c r="K10" s="19"/>
      <c r="L10" s="19"/>
      <c r="M10" s="19"/>
      <c r="N10" s="19"/>
      <c r="O10" s="19"/>
      <c r="P10" s="6"/>
      <c r="Q10" s="6"/>
      <c r="R10" s="19"/>
      <c r="S10" s="6"/>
      <c r="T10" s="6"/>
      <c r="U10" s="6"/>
      <c r="V10" s="6"/>
      <c r="W10" s="6"/>
      <c r="X10" s="6"/>
      <c r="Y10" s="6"/>
      <c r="Z10" s="6"/>
      <c r="AA10" s="6"/>
      <c r="AB10" s="6"/>
      <c r="AC10" s="6"/>
      <c r="AD10" s="6"/>
      <c r="AE10" s="6"/>
      <c r="AF10" s="6"/>
      <c r="AG10" s="6"/>
      <c r="AH10" s="6"/>
      <c r="AI10" s="6"/>
      <c r="AJ10" s="6"/>
      <c r="AK10" s="6"/>
      <c r="AL10" s="6"/>
      <c r="AM10" s="6"/>
      <c r="AN10" s="6"/>
      <c r="AO10" s="6"/>
      <c r="AP10" s="6"/>
      <c r="AQ10" s="19"/>
      <c r="AR10" s="19"/>
      <c r="AS10" s="19"/>
      <c r="AT10" s="21"/>
      <c r="AU10" s="6"/>
      <c r="AV10" s="21"/>
      <c r="AW10" s="6"/>
      <c r="AX10" s="19"/>
      <c r="AY10" s="19"/>
      <c r="AZ10" s="6"/>
      <c r="BA10" s="6"/>
      <c r="BB10" s="6"/>
      <c r="BC10" s="6"/>
      <c r="BD10" s="6"/>
      <c r="BE10" s="6"/>
      <c r="BF10" s="6"/>
      <c r="BG10" s="6"/>
      <c r="BH10" s="19"/>
      <c r="BI10" s="19"/>
      <c r="BJ10" s="6"/>
      <c r="BK10" s="6"/>
      <c r="BL10" s="6"/>
      <c r="BM10" s="6"/>
      <c r="BN10" s="6"/>
      <c r="BO10" s="6"/>
      <c r="BP10" s="6"/>
      <c r="BQ10" s="6"/>
      <c r="BR10" s="6"/>
      <c r="BS10" s="6"/>
      <c r="BT10" s="6"/>
      <c r="BU10" s="19"/>
      <c r="BV10" s="6"/>
      <c r="BW10" s="6"/>
      <c r="BX10" s="6"/>
      <c r="BY10" s="6"/>
      <c r="BZ10" s="6"/>
      <c r="CA10" s="6"/>
      <c r="CB10" s="6"/>
      <c r="CC10" s="6"/>
      <c r="CD10" s="6"/>
      <c r="CE10" s="19"/>
      <c r="CF10" s="19"/>
      <c r="CG10" s="19"/>
      <c r="CH10" s="19"/>
      <c r="CI10" s="19"/>
      <c r="CJ10" s="19"/>
      <c r="CK10" s="19"/>
      <c r="CL10" s="19"/>
      <c r="CM10" s="19"/>
      <c r="CN10" s="19"/>
      <c r="CO10" s="6"/>
      <c r="CP10" s="6"/>
      <c r="CQ10" s="6"/>
      <c r="CR10" s="6"/>
      <c r="CS10" s="6"/>
      <c r="CT10" s="6"/>
      <c r="CU10" s="6"/>
      <c r="CV10" s="6"/>
      <c r="CW10" s="6"/>
      <c r="CX10" s="6"/>
      <c r="CY10" s="21"/>
      <c r="CZ10" s="6"/>
      <c r="DA10" s="21"/>
      <c r="DB10" s="6"/>
      <c r="DC10" s="6"/>
      <c r="DD10" s="6"/>
      <c r="DE10" s="6"/>
      <c r="DF10" s="6"/>
      <c r="DG10" s="6"/>
      <c r="DH10" s="6"/>
      <c r="DI10" s="5"/>
      <c r="DJ10" s="5"/>
      <c r="DK10" s="6"/>
      <c r="DL10" s="19"/>
      <c r="DM10" s="5"/>
      <c r="DN10" s="19"/>
      <c r="DO10" s="6"/>
      <c r="DP10" s="6"/>
      <c r="DQ10" s="6"/>
      <c r="DR10" s="19"/>
      <c r="DS10" s="1" t="str">
        <f t="shared" si="1"/>
        <v/>
      </c>
    </row>
    <row r="11" spans="1:123" ht="13.5" customHeight="1" x14ac:dyDescent="0.25">
      <c r="A11" s="17" t="str">
        <f t="shared" si="0"/>
        <v/>
      </c>
      <c r="B11" s="5"/>
      <c r="C11" s="5"/>
      <c r="D11" s="5"/>
      <c r="E11" s="6"/>
      <c r="F11" s="19"/>
      <c r="G11" s="19"/>
      <c r="H11" s="19"/>
      <c r="I11" s="19"/>
      <c r="J11" s="19"/>
      <c r="K11" s="19"/>
      <c r="L11" s="19"/>
      <c r="M11" s="19"/>
      <c r="N11" s="19"/>
      <c r="O11" s="19"/>
      <c r="P11" s="6"/>
      <c r="Q11" s="6"/>
      <c r="R11" s="19"/>
      <c r="S11" s="6"/>
      <c r="T11" s="6"/>
      <c r="U11" s="6"/>
      <c r="V11" s="6"/>
      <c r="W11" s="6"/>
      <c r="X11" s="6"/>
      <c r="Y11" s="6"/>
      <c r="Z11" s="6"/>
      <c r="AA11" s="6"/>
      <c r="AB11" s="6"/>
      <c r="AC11" s="6"/>
      <c r="AD11" s="6"/>
      <c r="AE11" s="6"/>
      <c r="AF11" s="6"/>
      <c r="AG11" s="6"/>
      <c r="AH11" s="6"/>
      <c r="AI11" s="6"/>
      <c r="AJ11" s="6"/>
      <c r="AK11" s="6"/>
      <c r="AL11" s="6"/>
      <c r="AM11" s="6"/>
      <c r="AN11" s="6"/>
      <c r="AO11" s="6"/>
      <c r="AP11" s="6"/>
      <c r="AQ11" s="19"/>
      <c r="AR11" s="19"/>
      <c r="AS11" s="19"/>
      <c r="AT11" s="21"/>
      <c r="AU11" s="6"/>
      <c r="AV11" s="21"/>
      <c r="AW11" s="6"/>
      <c r="AX11" s="19"/>
      <c r="AY11" s="19"/>
      <c r="AZ11" s="6"/>
      <c r="BA11" s="6"/>
      <c r="BB11" s="6"/>
      <c r="BC11" s="6"/>
      <c r="BD11" s="6"/>
      <c r="BE11" s="6"/>
      <c r="BF11" s="6"/>
      <c r="BG11" s="6"/>
      <c r="BH11" s="19"/>
      <c r="BI11" s="19"/>
      <c r="BJ11" s="6"/>
      <c r="BK11" s="6"/>
      <c r="BL11" s="6"/>
      <c r="BM11" s="6"/>
      <c r="BN11" s="6"/>
      <c r="BO11" s="6"/>
      <c r="BP11" s="6"/>
      <c r="BQ11" s="6"/>
      <c r="BR11" s="6"/>
      <c r="BS11" s="6"/>
      <c r="BT11" s="6"/>
      <c r="BU11" s="19"/>
      <c r="BV11" s="6"/>
      <c r="BW11" s="6"/>
      <c r="BX11" s="6"/>
      <c r="BY11" s="6"/>
      <c r="BZ11" s="6"/>
      <c r="CA11" s="6"/>
      <c r="CB11" s="6"/>
      <c r="CC11" s="6"/>
      <c r="CD11" s="6"/>
      <c r="CE11" s="19"/>
      <c r="CF11" s="19"/>
      <c r="CG11" s="19"/>
      <c r="CH11" s="19"/>
      <c r="CI11" s="19"/>
      <c r="CJ11" s="19"/>
      <c r="CK11" s="19"/>
      <c r="CL11" s="19"/>
      <c r="CM11" s="19"/>
      <c r="CN11" s="19"/>
      <c r="CO11" s="6"/>
      <c r="CP11" s="6"/>
      <c r="CQ11" s="6"/>
      <c r="CR11" s="6"/>
      <c r="CS11" s="6"/>
      <c r="CT11" s="6"/>
      <c r="CU11" s="6"/>
      <c r="CV11" s="6"/>
      <c r="CW11" s="6"/>
      <c r="CX11" s="6"/>
      <c r="CY11" s="21"/>
      <c r="CZ11" s="6"/>
      <c r="DA11" s="21"/>
      <c r="DB11" s="6"/>
      <c r="DC11" s="6"/>
      <c r="DD11" s="6"/>
      <c r="DE11" s="6"/>
      <c r="DF11" s="6"/>
      <c r="DG11" s="6"/>
      <c r="DH11" s="6"/>
      <c r="DI11" s="5"/>
      <c r="DJ11" s="5"/>
      <c r="DK11" s="6"/>
      <c r="DL11" s="19"/>
      <c r="DM11" s="5"/>
      <c r="DN11" s="19"/>
      <c r="DO11" s="6"/>
      <c r="DP11" s="6"/>
      <c r="DQ11" s="6"/>
      <c r="DR11" s="19"/>
      <c r="DS11" s="1" t="str">
        <f t="shared" si="1"/>
        <v/>
      </c>
    </row>
    <row r="12" spans="1:123" ht="13.5" customHeight="1" x14ac:dyDescent="0.25">
      <c r="A12" s="17" t="str">
        <f t="shared" si="0"/>
        <v/>
      </c>
      <c r="B12" s="5"/>
      <c r="C12" s="5"/>
      <c r="D12" s="5"/>
      <c r="E12" s="6"/>
      <c r="F12" s="19"/>
      <c r="G12" s="19"/>
      <c r="H12" s="19"/>
      <c r="I12" s="19"/>
      <c r="J12" s="19"/>
      <c r="K12" s="19"/>
      <c r="L12" s="19"/>
      <c r="M12" s="19"/>
      <c r="N12" s="19"/>
      <c r="O12" s="19"/>
      <c r="P12" s="6"/>
      <c r="Q12" s="6"/>
      <c r="R12" s="19"/>
      <c r="S12" s="6"/>
      <c r="T12" s="6"/>
      <c r="U12" s="6"/>
      <c r="V12" s="6"/>
      <c r="W12" s="6"/>
      <c r="X12" s="6"/>
      <c r="Y12" s="6"/>
      <c r="Z12" s="6"/>
      <c r="AA12" s="6"/>
      <c r="AB12" s="6"/>
      <c r="AC12" s="6"/>
      <c r="AD12" s="6"/>
      <c r="AE12" s="6"/>
      <c r="AF12" s="6"/>
      <c r="AG12" s="6"/>
      <c r="AH12" s="6"/>
      <c r="AI12" s="6"/>
      <c r="AJ12" s="6"/>
      <c r="AK12" s="6"/>
      <c r="AL12" s="6"/>
      <c r="AM12" s="6"/>
      <c r="AN12" s="6"/>
      <c r="AO12" s="6"/>
      <c r="AP12" s="6"/>
      <c r="AQ12" s="19"/>
      <c r="AR12" s="19"/>
      <c r="AS12" s="19"/>
      <c r="AT12" s="21"/>
      <c r="AU12" s="6"/>
      <c r="AV12" s="21"/>
      <c r="AW12" s="6"/>
      <c r="AX12" s="19"/>
      <c r="AY12" s="19"/>
      <c r="AZ12" s="6"/>
      <c r="BA12" s="6"/>
      <c r="BB12" s="6"/>
      <c r="BC12" s="6"/>
      <c r="BD12" s="6"/>
      <c r="BE12" s="6"/>
      <c r="BF12" s="6"/>
      <c r="BG12" s="6"/>
      <c r="BH12" s="19"/>
      <c r="BI12" s="19"/>
      <c r="BJ12" s="6"/>
      <c r="BK12" s="6"/>
      <c r="BL12" s="6"/>
      <c r="BM12" s="6"/>
      <c r="BN12" s="6"/>
      <c r="BO12" s="6"/>
      <c r="BP12" s="6"/>
      <c r="BQ12" s="6"/>
      <c r="BR12" s="6"/>
      <c r="BS12" s="6"/>
      <c r="BT12" s="6"/>
      <c r="BU12" s="19"/>
      <c r="BV12" s="6"/>
      <c r="BW12" s="6"/>
      <c r="BX12" s="6"/>
      <c r="BY12" s="6"/>
      <c r="BZ12" s="6"/>
      <c r="CA12" s="6"/>
      <c r="CB12" s="6"/>
      <c r="CC12" s="6"/>
      <c r="CD12" s="6"/>
      <c r="CE12" s="19"/>
      <c r="CF12" s="19"/>
      <c r="CG12" s="19"/>
      <c r="CH12" s="19"/>
      <c r="CI12" s="19"/>
      <c r="CJ12" s="19"/>
      <c r="CK12" s="19"/>
      <c r="CL12" s="19"/>
      <c r="CM12" s="19"/>
      <c r="CN12" s="19"/>
      <c r="CO12" s="6"/>
      <c r="CP12" s="6"/>
      <c r="CQ12" s="6"/>
      <c r="CR12" s="6"/>
      <c r="CS12" s="6"/>
      <c r="CT12" s="6"/>
      <c r="CU12" s="6"/>
      <c r="CV12" s="6"/>
      <c r="CW12" s="6"/>
      <c r="CX12" s="6"/>
      <c r="CY12" s="21"/>
      <c r="CZ12" s="6"/>
      <c r="DA12" s="21"/>
      <c r="DB12" s="6"/>
      <c r="DC12" s="6"/>
      <c r="DD12" s="6"/>
      <c r="DE12" s="6"/>
      <c r="DF12" s="6"/>
      <c r="DG12" s="6"/>
      <c r="DH12" s="6"/>
      <c r="DI12" s="5"/>
      <c r="DJ12" s="5"/>
      <c r="DK12" s="6"/>
      <c r="DL12" s="19"/>
      <c r="DM12" s="5"/>
      <c r="DN12" s="19"/>
      <c r="DO12" s="6"/>
      <c r="DP12" s="6"/>
      <c r="DQ12" s="6"/>
      <c r="DR12" s="19"/>
      <c r="DS12" s="1" t="str">
        <f t="shared" si="1"/>
        <v/>
      </c>
    </row>
    <row r="13" spans="1:123" ht="13.5" customHeight="1" x14ac:dyDescent="0.25">
      <c r="A13" s="17" t="str">
        <f t="shared" si="0"/>
        <v/>
      </c>
      <c r="B13" s="5"/>
      <c r="C13" s="5"/>
      <c r="D13" s="5"/>
      <c r="E13" s="6"/>
      <c r="F13" s="19"/>
      <c r="G13" s="19"/>
      <c r="H13" s="19"/>
      <c r="I13" s="19"/>
      <c r="J13" s="19"/>
      <c r="K13" s="19"/>
      <c r="L13" s="19"/>
      <c r="M13" s="19"/>
      <c r="N13" s="19"/>
      <c r="O13" s="19"/>
      <c r="P13" s="6"/>
      <c r="Q13" s="6"/>
      <c r="R13" s="19"/>
      <c r="S13" s="6"/>
      <c r="T13" s="6"/>
      <c r="U13" s="6"/>
      <c r="V13" s="6"/>
      <c r="W13" s="6"/>
      <c r="X13" s="6"/>
      <c r="Y13" s="6"/>
      <c r="Z13" s="6"/>
      <c r="AA13" s="6"/>
      <c r="AB13" s="6"/>
      <c r="AC13" s="6"/>
      <c r="AD13" s="6"/>
      <c r="AE13" s="6"/>
      <c r="AF13" s="6"/>
      <c r="AG13" s="6"/>
      <c r="AH13" s="6"/>
      <c r="AI13" s="6"/>
      <c r="AJ13" s="6"/>
      <c r="AK13" s="6"/>
      <c r="AL13" s="6"/>
      <c r="AM13" s="6"/>
      <c r="AN13" s="6"/>
      <c r="AO13" s="6"/>
      <c r="AP13" s="6"/>
      <c r="AQ13" s="19"/>
      <c r="AR13" s="19"/>
      <c r="AS13" s="19"/>
      <c r="AT13" s="21"/>
      <c r="AU13" s="6"/>
      <c r="AV13" s="21"/>
      <c r="AW13" s="6"/>
      <c r="AX13" s="19"/>
      <c r="AY13" s="19"/>
      <c r="AZ13" s="6"/>
      <c r="BA13" s="6"/>
      <c r="BB13" s="6"/>
      <c r="BC13" s="6"/>
      <c r="BD13" s="6"/>
      <c r="BE13" s="6"/>
      <c r="BF13" s="6"/>
      <c r="BG13" s="6"/>
      <c r="BH13" s="19"/>
      <c r="BI13" s="19"/>
      <c r="BJ13" s="6"/>
      <c r="BK13" s="6"/>
      <c r="BL13" s="6"/>
      <c r="BM13" s="6"/>
      <c r="BN13" s="6"/>
      <c r="BO13" s="6"/>
      <c r="BP13" s="6"/>
      <c r="BQ13" s="6"/>
      <c r="BR13" s="6"/>
      <c r="BS13" s="6"/>
      <c r="BT13" s="6"/>
      <c r="BU13" s="19"/>
      <c r="BV13" s="6"/>
      <c r="BW13" s="6"/>
      <c r="BX13" s="6"/>
      <c r="BY13" s="6"/>
      <c r="BZ13" s="6"/>
      <c r="CA13" s="6"/>
      <c r="CB13" s="6"/>
      <c r="CC13" s="6"/>
      <c r="CD13" s="6"/>
      <c r="CE13" s="19"/>
      <c r="CF13" s="19"/>
      <c r="CG13" s="19"/>
      <c r="CH13" s="19"/>
      <c r="CI13" s="19"/>
      <c r="CJ13" s="19"/>
      <c r="CK13" s="19"/>
      <c r="CL13" s="19"/>
      <c r="CM13" s="19"/>
      <c r="CN13" s="19"/>
      <c r="CO13" s="6"/>
      <c r="CP13" s="6"/>
      <c r="CQ13" s="6"/>
      <c r="CR13" s="6"/>
      <c r="CS13" s="6"/>
      <c r="CT13" s="6"/>
      <c r="CU13" s="6"/>
      <c r="CV13" s="6"/>
      <c r="CW13" s="6"/>
      <c r="CX13" s="6"/>
      <c r="CY13" s="21"/>
      <c r="CZ13" s="6"/>
      <c r="DA13" s="21"/>
      <c r="DB13" s="6"/>
      <c r="DC13" s="6"/>
      <c r="DD13" s="6"/>
      <c r="DE13" s="6"/>
      <c r="DF13" s="6"/>
      <c r="DG13" s="6"/>
      <c r="DH13" s="6"/>
      <c r="DI13" s="5"/>
      <c r="DJ13" s="5"/>
      <c r="DK13" s="6"/>
      <c r="DL13" s="19"/>
      <c r="DM13" s="5"/>
      <c r="DN13" s="19"/>
      <c r="DO13" s="6"/>
      <c r="DP13" s="6"/>
      <c r="DQ13" s="6"/>
      <c r="DR13" s="19"/>
      <c r="DS13" s="1" t="str">
        <f t="shared" si="1"/>
        <v/>
      </c>
    </row>
    <row r="14" spans="1:123" ht="13.5" customHeight="1" x14ac:dyDescent="0.25">
      <c r="A14" s="17" t="str">
        <f t="shared" si="0"/>
        <v/>
      </c>
      <c r="B14" s="5"/>
      <c r="C14" s="5"/>
      <c r="D14" s="5"/>
      <c r="E14" s="6"/>
      <c r="F14" s="19"/>
      <c r="G14" s="19"/>
      <c r="H14" s="19"/>
      <c r="I14" s="19"/>
      <c r="J14" s="19"/>
      <c r="K14" s="19"/>
      <c r="L14" s="19"/>
      <c r="M14" s="19"/>
      <c r="N14" s="19"/>
      <c r="O14" s="19"/>
      <c r="P14" s="6"/>
      <c r="Q14" s="6"/>
      <c r="R14" s="19"/>
      <c r="S14" s="6"/>
      <c r="T14" s="6"/>
      <c r="U14" s="6"/>
      <c r="V14" s="6"/>
      <c r="W14" s="6"/>
      <c r="X14" s="6"/>
      <c r="Y14" s="6"/>
      <c r="Z14" s="6"/>
      <c r="AA14" s="6"/>
      <c r="AB14" s="6"/>
      <c r="AC14" s="6"/>
      <c r="AD14" s="6"/>
      <c r="AE14" s="6"/>
      <c r="AF14" s="6"/>
      <c r="AG14" s="6"/>
      <c r="AH14" s="6"/>
      <c r="AI14" s="6"/>
      <c r="AJ14" s="6"/>
      <c r="AK14" s="6"/>
      <c r="AL14" s="6"/>
      <c r="AM14" s="6"/>
      <c r="AN14" s="6"/>
      <c r="AO14" s="6"/>
      <c r="AP14" s="6"/>
      <c r="AQ14" s="19"/>
      <c r="AR14" s="19"/>
      <c r="AS14" s="19"/>
      <c r="AT14" s="21"/>
      <c r="AU14" s="6"/>
      <c r="AV14" s="21"/>
      <c r="AW14" s="6"/>
      <c r="AX14" s="19"/>
      <c r="AY14" s="19"/>
      <c r="AZ14" s="6"/>
      <c r="BA14" s="6"/>
      <c r="BB14" s="6"/>
      <c r="BC14" s="6"/>
      <c r="BD14" s="6"/>
      <c r="BE14" s="6"/>
      <c r="BF14" s="6"/>
      <c r="BG14" s="6"/>
      <c r="BH14" s="19"/>
      <c r="BI14" s="19"/>
      <c r="BJ14" s="6"/>
      <c r="BK14" s="6"/>
      <c r="BL14" s="6"/>
      <c r="BM14" s="6"/>
      <c r="BN14" s="6"/>
      <c r="BO14" s="6"/>
      <c r="BP14" s="6"/>
      <c r="BQ14" s="6"/>
      <c r="BR14" s="6"/>
      <c r="BS14" s="6"/>
      <c r="BT14" s="6"/>
      <c r="BU14" s="19"/>
      <c r="BV14" s="6"/>
      <c r="BW14" s="6"/>
      <c r="BX14" s="6"/>
      <c r="BY14" s="6"/>
      <c r="BZ14" s="6"/>
      <c r="CA14" s="6"/>
      <c r="CB14" s="6"/>
      <c r="CC14" s="6"/>
      <c r="CD14" s="6"/>
      <c r="CE14" s="19"/>
      <c r="CF14" s="19"/>
      <c r="CG14" s="19"/>
      <c r="CH14" s="19"/>
      <c r="CI14" s="19"/>
      <c r="CJ14" s="19"/>
      <c r="CK14" s="19"/>
      <c r="CL14" s="19"/>
      <c r="CM14" s="19"/>
      <c r="CN14" s="19"/>
      <c r="CO14" s="6"/>
      <c r="CP14" s="6"/>
      <c r="CQ14" s="6"/>
      <c r="CR14" s="6"/>
      <c r="CS14" s="6"/>
      <c r="CT14" s="6"/>
      <c r="CU14" s="6"/>
      <c r="CV14" s="6"/>
      <c r="CW14" s="6"/>
      <c r="CX14" s="6"/>
      <c r="CY14" s="21"/>
      <c r="CZ14" s="6"/>
      <c r="DA14" s="21"/>
      <c r="DB14" s="6"/>
      <c r="DC14" s="6"/>
      <c r="DD14" s="6"/>
      <c r="DE14" s="6"/>
      <c r="DF14" s="6"/>
      <c r="DG14" s="6"/>
      <c r="DH14" s="6"/>
      <c r="DI14" s="5"/>
      <c r="DJ14" s="5"/>
      <c r="DK14" s="6"/>
      <c r="DL14" s="19"/>
      <c r="DM14" s="5"/>
      <c r="DN14" s="19"/>
      <c r="DO14" s="6"/>
      <c r="DP14" s="6"/>
      <c r="DQ14" s="6"/>
      <c r="DR14" s="19"/>
      <c r="DS14" s="1" t="str">
        <f t="shared" si="1"/>
        <v/>
      </c>
    </row>
    <row r="15" spans="1:123" ht="13.5" customHeight="1" x14ac:dyDescent="0.25">
      <c r="A15" s="17" t="str">
        <f t="shared" si="0"/>
        <v/>
      </c>
      <c r="B15" s="5"/>
      <c r="C15" s="5"/>
      <c r="D15" s="5"/>
      <c r="E15" s="6"/>
      <c r="F15" s="19"/>
      <c r="G15" s="19"/>
      <c r="H15" s="19"/>
      <c r="I15" s="19"/>
      <c r="J15" s="19"/>
      <c r="K15" s="19"/>
      <c r="L15" s="19"/>
      <c r="M15" s="19"/>
      <c r="N15" s="19"/>
      <c r="O15" s="19"/>
      <c r="P15" s="6"/>
      <c r="Q15" s="6"/>
      <c r="R15" s="19"/>
      <c r="S15" s="6"/>
      <c r="T15" s="6"/>
      <c r="U15" s="6"/>
      <c r="V15" s="6"/>
      <c r="W15" s="6"/>
      <c r="X15" s="6"/>
      <c r="Y15" s="6"/>
      <c r="Z15" s="6"/>
      <c r="AA15" s="6"/>
      <c r="AB15" s="6"/>
      <c r="AC15" s="6"/>
      <c r="AD15" s="6"/>
      <c r="AE15" s="6"/>
      <c r="AF15" s="6"/>
      <c r="AG15" s="6"/>
      <c r="AH15" s="6"/>
      <c r="AI15" s="6"/>
      <c r="AJ15" s="6"/>
      <c r="AK15" s="6"/>
      <c r="AL15" s="6"/>
      <c r="AM15" s="6"/>
      <c r="AN15" s="6"/>
      <c r="AO15" s="6"/>
      <c r="AP15" s="6"/>
      <c r="AQ15" s="19"/>
      <c r="AR15" s="19"/>
      <c r="AS15" s="19"/>
      <c r="AT15" s="21"/>
      <c r="AU15" s="6"/>
      <c r="AV15" s="21"/>
      <c r="AW15" s="6"/>
      <c r="AX15" s="19"/>
      <c r="AY15" s="19"/>
      <c r="AZ15" s="6"/>
      <c r="BA15" s="6"/>
      <c r="BB15" s="6"/>
      <c r="BC15" s="6"/>
      <c r="BD15" s="6"/>
      <c r="BE15" s="6"/>
      <c r="BF15" s="6"/>
      <c r="BG15" s="6"/>
      <c r="BH15" s="19"/>
      <c r="BI15" s="19"/>
      <c r="BJ15" s="6"/>
      <c r="BK15" s="6"/>
      <c r="BL15" s="6"/>
      <c r="BM15" s="6"/>
      <c r="BN15" s="6"/>
      <c r="BO15" s="6"/>
      <c r="BP15" s="6"/>
      <c r="BQ15" s="6"/>
      <c r="BR15" s="6"/>
      <c r="BS15" s="6"/>
      <c r="BT15" s="6"/>
      <c r="BU15" s="19"/>
      <c r="BV15" s="6"/>
      <c r="BW15" s="6"/>
      <c r="BX15" s="6"/>
      <c r="BY15" s="6"/>
      <c r="BZ15" s="6"/>
      <c r="CA15" s="6"/>
      <c r="CB15" s="6"/>
      <c r="CC15" s="6"/>
      <c r="CD15" s="6"/>
      <c r="CE15" s="19"/>
      <c r="CF15" s="19"/>
      <c r="CG15" s="19"/>
      <c r="CH15" s="19"/>
      <c r="CI15" s="19"/>
      <c r="CJ15" s="19"/>
      <c r="CK15" s="19"/>
      <c r="CL15" s="19"/>
      <c r="CM15" s="19"/>
      <c r="CN15" s="19"/>
      <c r="CO15" s="6"/>
      <c r="CP15" s="6"/>
      <c r="CQ15" s="6"/>
      <c r="CR15" s="6"/>
      <c r="CS15" s="6"/>
      <c r="CT15" s="6"/>
      <c r="CU15" s="6"/>
      <c r="CV15" s="6"/>
      <c r="CW15" s="6"/>
      <c r="CX15" s="6"/>
      <c r="CY15" s="21"/>
      <c r="CZ15" s="6"/>
      <c r="DA15" s="21"/>
      <c r="DB15" s="6"/>
      <c r="DC15" s="6"/>
      <c r="DD15" s="6"/>
      <c r="DE15" s="6"/>
      <c r="DF15" s="6"/>
      <c r="DG15" s="6"/>
      <c r="DH15" s="6"/>
      <c r="DI15" s="5"/>
      <c r="DJ15" s="5"/>
      <c r="DK15" s="6"/>
      <c r="DL15" s="19"/>
      <c r="DM15" s="5"/>
      <c r="DN15" s="19"/>
      <c r="DO15" s="6"/>
      <c r="DP15" s="6"/>
      <c r="DQ15" s="6"/>
      <c r="DR15" s="19"/>
      <c r="DS15" s="1" t="str">
        <f t="shared" si="1"/>
        <v/>
      </c>
    </row>
    <row r="16" spans="1:123" ht="13.5" customHeight="1" x14ac:dyDescent="0.25">
      <c r="A16" s="17" t="str">
        <f t="shared" si="0"/>
        <v/>
      </c>
      <c r="B16" s="5"/>
      <c r="C16" s="5"/>
      <c r="D16" s="5"/>
      <c r="E16" s="6"/>
      <c r="F16" s="19"/>
      <c r="G16" s="19"/>
      <c r="H16" s="19"/>
      <c r="I16" s="19"/>
      <c r="J16" s="19"/>
      <c r="K16" s="19"/>
      <c r="L16" s="19"/>
      <c r="M16" s="19"/>
      <c r="N16" s="19"/>
      <c r="O16" s="19"/>
      <c r="P16" s="6"/>
      <c r="Q16" s="6"/>
      <c r="R16" s="19"/>
      <c r="S16" s="6"/>
      <c r="T16" s="6"/>
      <c r="U16" s="6"/>
      <c r="V16" s="6"/>
      <c r="W16" s="6"/>
      <c r="X16" s="6"/>
      <c r="Y16" s="6"/>
      <c r="Z16" s="6"/>
      <c r="AA16" s="6"/>
      <c r="AB16" s="6"/>
      <c r="AC16" s="6"/>
      <c r="AD16" s="6"/>
      <c r="AE16" s="6"/>
      <c r="AF16" s="6"/>
      <c r="AG16" s="6"/>
      <c r="AH16" s="6"/>
      <c r="AI16" s="6"/>
      <c r="AJ16" s="6"/>
      <c r="AK16" s="6"/>
      <c r="AL16" s="6"/>
      <c r="AM16" s="6"/>
      <c r="AN16" s="6"/>
      <c r="AO16" s="6"/>
      <c r="AP16" s="6"/>
      <c r="AQ16" s="19"/>
      <c r="AR16" s="19"/>
      <c r="AS16" s="19"/>
      <c r="AT16" s="21"/>
      <c r="AU16" s="6"/>
      <c r="AV16" s="21"/>
      <c r="AW16" s="6"/>
      <c r="AX16" s="19"/>
      <c r="AY16" s="19"/>
      <c r="AZ16" s="6"/>
      <c r="BA16" s="6"/>
      <c r="BB16" s="6"/>
      <c r="BC16" s="6"/>
      <c r="BD16" s="6"/>
      <c r="BE16" s="6"/>
      <c r="BF16" s="6"/>
      <c r="BG16" s="6"/>
      <c r="BH16" s="19"/>
      <c r="BI16" s="19"/>
      <c r="BJ16" s="6"/>
      <c r="BK16" s="6"/>
      <c r="BL16" s="6"/>
      <c r="BM16" s="6"/>
      <c r="BN16" s="6"/>
      <c r="BO16" s="6"/>
      <c r="BP16" s="6"/>
      <c r="BQ16" s="6"/>
      <c r="BR16" s="6"/>
      <c r="BS16" s="6"/>
      <c r="BT16" s="6"/>
      <c r="BU16" s="19"/>
      <c r="BV16" s="6"/>
      <c r="BW16" s="6"/>
      <c r="BX16" s="6"/>
      <c r="BY16" s="6"/>
      <c r="BZ16" s="6"/>
      <c r="CA16" s="6"/>
      <c r="CB16" s="6"/>
      <c r="CC16" s="6"/>
      <c r="CD16" s="6"/>
      <c r="CE16" s="19"/>
      <c r="CF16" s="19"/>
      <c r="CG16" s="19"/>
      <c r="CH16" s="19"/>
      <c r="CI16" s="19"/>
      <c r="CJ16" s="19"/>
      <c r="CK16" s="19"/>
      <c r="CL16" s="19"/>
      <c r="CM16" s="19"/>
      <c r="CN16" s="19"/>
      <c r="CO16" s="6"/>
      <c r="CP16" s="6"/>
      <c r="CQ16" s="6"/>
      <c r="CR16" s="6"/>
      <c r="CS16" s="6"/>
      <c r="CT16" s="6"/>
      <c r="CU16" s="6"/>
      <c r="CV16" s="6"/>
      <c r="CW16" s="6"/>
      <c r="CX16" s="6"/>
      <c r="CY16" s="21"/>
      <c r="CZ16" s="6"/>
      <c r="DA16" s="21"/>
      <c r="DB16" s="6"/>
      <c r="DC16" s="6"/>
      <c r="DD16" s="6"/>
      <c r="DE16" s="6"/>
      <c r="DF16" s="6"/>
      <c r="DG16" s="6"/>
      <c r="DH16" s="6"/>
      <c r="DI16" s="5"/>
      <c r="DJ16" s="5"/>
      <c r="DK16" s="6"/>
      <c r="DL16" s="19"/>
      <c r="DM16" s="5"/>
      <c r="DN16" s="19"/>
      <c r="DO16" s="6"/>
      <c r="DP16" s="6"/>
      <c r="DQ16" s="6"/>
      <c r="DR16" s="19"/>
      <c r="DS16" s="1" t="str">
        <f t="shared" si="1"/>
        <v/>
      </c>
    </row>
    <row r="17" spans="1:123" ht="13.5" customHeight="1" x14ac:dyDescent="0.25">
      <c r="A17" s="17" t="str">
        <f t="shared" si="0"/>
        <v/>
      </c>
      <c r="B17" s="5"/>
      <c r="C17" s="5"/>
      <c r="D17" s="5"/>
      <c r="E17" s="6"/>
      <c r="F17" s="19"/>
      <c r="G17" s="19"/>
      <c r="H17" s="19"/>
      <c r="I17" s="19"/>
      <c r="J17" s="19"/>
      <c r="K17" s="19"/>
      <c r="L17" s="19"/>
      <c r="M17" s="19"/>
      <c r="N17" s="19"/>
      <c r="O17" s="19"/>
      <c r="P17" s="6"/>
      <c r="Q17" s="6"/>
      <c r="R17" s="19"/>
      <c r="S17" s="6"/>
      <c r="T17" s="6"/>
      <c r="U17" s="6"/>
      <c r="V17" s="6"/>
      <c r="W17" s="6"/>
      <c r="X17" s="6"/>
      <c r="Y17" s="6"/>
      <c r="Z17" s="6"/>
      <c r="AA17" s="6"/>
      <c r="AB17" s="6"/>
      <c r="AC17" s="6"/>
      <c r="AD17" s="6"/>
      <c r="AE17" s="6"/>
      <c r="AF17" s="6"/>
      <c r="AG17" s="6"/>
      <c r="AH17" s="6"/>
      <c r="AI17" s="6"/>
      <c r="AJ17" s="6"/>
      <c r="AK17" s="6"/>
      <c r="AL17" s="6"/>
      <c r="AM17" s="6"/>
      <c r="AN17" s="6"/>
      <c r="AO17" s="6"/>
      <c r="AP17" s="6"/>
      <c r="AQ17" s="19"/>
      <c r="AR17" s="19"/>
      <c r="AS17" s="19"/>
      <c r="AT17" s="21"/>
      <c r="AU17" s="6"/>
      <c r="AV17" s="21"/>
      <c r="AW17" s="6"/>
      <c r="AX17" s="19"/>
      <c r="AY17" s="19"/>
      <c r="AZ17" s="6"/>
      <c r="BA17" s="6"/>
      <c r="BB17" s="6"/>
      <c r="BC17" s="6"/>
      <c r="BD17" s="6"/>
      <c r="BE17" s="6"/>
      <c r="BF17" s="6"/>
      <c r="BG17" s="6"/>
      <c r="BH17" s="19"/>
      <c r="BI17" s="19"/>
      <c r="BJ17" s="6"/>
      <c r="BK17" s="6"/>
      <c r="BL17" s="6"/>
      <c r="BM17" s="6"/>
      <c r="BN17" s="6"/>
      <c r="BO17" s="6"/>
      <c r="BP17" s="6"/>
      <c r="BQ17" s="6"/>
      <c r="BR17" s="6"/>
      <c r="BS17" s="6"/>
      <c r="BT17" s="6"/>
      <c r="BU17" s="19"/>
      <c r="BV17" s="6"/>
      <c r="BW17" s="6"/>
      <c r="BX17" s="6"/>
      <c r="BY17" s="6"/>
      <c r="BZ17" s="6"/>
      <c r="CA17" s="6"/>
      <c r="CB17" s="6"/>
      <c r="CC17" s="6"/>
      <c r="CD17" s="6"/>
      <c r="CE17" s="19"/>
      <c r="CF17" s="19"/>
      <c r="CG17" s="19"/>
      <c r="CH17" s="19"/>
      <c r="CI17" s="19"/>
      <c r="CJ17" s="19"/>
      <c r="CK17" s="19"/>
      <c r="CL17" s="19"/>
      <c r="CM17" s="19"/>
      <c r="CN17" s="19"/>
      <c r="CO17" s="6"/>
      <c r="CP17" s="6"/>
      <c r="CQ17" s="6"/>
      <c r="CR17" s="6"/>
      <c r="CS17" s="6"/>
      <c r="CT17" s="6"/>
      <c r="CU17" s="6"/>
      <c r="CV17" s="6"/>
      <c r="CW17" s="6"/>
      <c r="CX17" s="6"/>
      <c r="CY17" s="21"/>
      <c r="CZ17" s="6"/>
      <c r="DA17" s="21"/>
      <c r="DB17" s="6"/>
      <c r="DC17" s="6"/>
      <c r="DD17" s="6"/>
      <c r="DE17" s="6"/>
      <c r="DF17" s="6"/>
      <c r="DG17" s="6"/>
      <c r="DH17" s="6"/>
      <c r="DI17" s="5"/>
      <c r="DJ17" s="5"/>
      <c r="DK17" s="6"/>
      <c r="DL17" s="19"/>
      <c r="DM17" s="5"/>
      <c r="DN17" s="19"/>
      <c r="DO17" s="6"/>
      <c r="DP17" s="6"/>
      <c r="DQ17" s="6"/>
      <c r="DR17" s="19"/>
      <c r="DS17" s="1" t="str">
        <f t="shared" si="1"/>
        <v/>
      </c>
    </row>
    <row r="18" spans="1:123" ht="13.5" customHeight="1" x14ac:dyDescent="0.25">
      <c r="A18" s="17" t="str">
        <f t="shared" si="0"/>
        <v/>
      </c>
      <c r="B18" s="5"/>
      <c r="C18" s="5"/>
      <c r="D18" s="5"/>
      <c r="E18" s="6"/>
      <c r="F18" s="19"/>
      <c r="G18" s="19"/>
      <c r="H18" s="19"/>
      <c r="I18" s="19"/>
      <c r="J18" s="19"/>
      <c r="K18" s="19"/>
      <c r="L18" s="19"/>
      <c r="M18" s="19"/>
      <c r="N18" s="19"/>
      <c r="O18" s="19"/>
      <c r="P18" s="6"/>
      <c r="Q18" s="6"/>
      <c r="R18" s="19"/>
      <c r="S18" s="6"/>
      <c r="T18" s="6"/>
      <c r="U18" s="6"/>
      <c r="V18" s="6"/>
      <c r="W18" s="6"/>
      <c r="X18" s="6"/>
      <c r="Y18" s="6"/>
      <c r="Z18" s="6"/>
      <c r="AA18" s="6"/>
      <c r="AB18" s="6"/>
      <c r="AC18" s="6"/>
      <c r="AD18" s="6"/>
      <c r="AE18" s="6"/>
      <c r="AF18" s="6"/>
      <c r="AG18" s="6"/>
      <c r="AH18" s="6"/>
      <c r="AI18" s="6"/>
      <c r="AJ18" s="6"/>
      <c r="AK18" s="6"/>
      <c r="AL18" s="6"/>
      <c r="AM18" s="6"/>
      <c r="AN18" s="6"/>
      <c r="AO18" s="6"/>
      <c r="AP18" s="6"/>
      <c r="AQ18" s="19"/>
      <c r="AR18" s="19"/>
      <c r="AS18" s="19"/>
      <c r="AT18" s="21"/>
      <c r="AU18" s="6"/>
      <c r="AV18" s="21"/>
      <c r="AW18" s="6"/>
      <c r="AX18" s="19"/>
      <c r="AY18" s="19"/>
      <c r="AZ18" s="6"/>
      <c r="BA18" s="6"/>
      <c r="BB18" s="6"/>
      <c r="BC18" s="6"/>
      <c r="BD18" s="6"/>
      <c r="BE18" s="6"/>
      <c r="BF18" s="6"/>
      <c r="BG18" s="6"/>
      <c r="BH18" s="19"/>
      <c r="BI18" s="19"/>
      <c r="BJ18" s="6"/>
      <c r="BK18" s="6"/>
      <c r="BL18" s="6"/>
      <c r="BM18" s="6"/>
      <c r="BN18" s="6"/>
      <c r="BO18" s="6"/>
      <c r="BP18" s="6"/>
      <c r="BQ18" s="6"/>
      <c r="BR18" s="6"/>
      <c r="BS18" s="6"/>
      <c r="BT18" s="6"/>
      <c r="BU18" s="19"/>
      <c r="BV18" s="6"/>
      <c r="BW18" s="6"/>
      <c r="BX18" s="6"/>
      <c r="BY18" s="6"/>
      <c r="BZ18" s="6"/>
      <c r="CA18" s="6"/>
      <c r="CB18" s="6"/>
      <c r="CC18" s="6"/>
      <c r="CD18" s="6"/>
      <c r="CE18" s="19"/>
      <c r="CF18" s="19"/>
      <c r="CG18" s="19"/>
      <c r="CH18" s="19"/>
      <c r="CI18" s="19"/>
      <c r="CJ18" s="19"/>
      <c r="CK18" s="19"/>
      <c r="CL18" s="19"/>
      <c r="CM18" s="19"/>
      <c r="CN18" s="19"/>
      <c r="CO18" s="6"/>
      <c r="CP18" s="6"/>
      <c r="CQ18" s="6"/>
      <c r="CR18" s="6"/>
      <c r="CS18" s="6"/>
      <c r="CT18" s="6"/>
      <c r="CU18" s="6"/>
      <c r="CV18" s="6"/>
      <c r="CW18" s="6"/>
      <c r="CX18" s="6"/>
      <c r="CY18" s="21"/>
      <c r="CZ18" s="6"/>
      <c r="DA18" s="21"/>
      <c r="DB18" s="6"/>
      <c r="DC18" s="6"/>
      <c r="DD18" s="6"/>
      <c r="DE18" s="6"/>
      <c r="DF18" s="6"/>
      <c r="DG18" s="6"/>
      <c r="DH18" s="6"/>
      <c r="DI18" s="5"/>
      <c r="DJ18" s="5"/>
      <c r="DK18" s="6"/>
      <c r="DL18" s="19"/>
      <c r="DM18" s="5"/>
      <c r="DN18" s="19"/>
      <c r="DO18" s="6"/>
      <c r="DP18" s="6"/>
      <c r="DQ18" s="6"/>
      <c r="DR18" s="19"/>
      <c r="DS18" s="1" t="str">
        <f t="shared" si="1"/>
        <v/>
      </c>
    </row>
    <row r="19" spans="1:123" ht="13.5" customHeight="1" x14ac:dyDescent="0.25">
      <c r="A19" s="17" t="str">
        <f t="shared" si="0"/>
        <v/>
      </c>
      <c r="B19" s="5"/>
      <c r="C19" s="5"/>
      <c r="D19" s="5"/>
      <c r="E19" s="6"/>
      <c r="F19" s="19"/>
      <c r="G19" s="19"/>
      <c r="H19" s="19"/>
      <c r="I19" s="19"/>
      <c r="J19" s="19"/>
      <c r="K19" s="19"/>
      <c r="L19" s="19"/>
      <c r="M19" s="19"/>
      <c r="N19" s="19"/>
      <c r="O19" s="19"/>
      <c r="P19" s="6"/>
      <c r="Q19" s="6"/>
      <c r="R19" s="19"/>
      <c r="S19" s="6"/>
      <c r="T19" s="6"/>
      <c r="U19" s="6"/>
      <c r="V19" s="6"/>
      <c r="W19" s="6"/>
      <c r="X19" s="6"/>
      <c r="Y19" s="6"/>
      <c r="Z19" s="6"/>
      <c r="AA19" s="6"/>
      <c r="AB19" s="6"/>
      <c r="AC19" s="6"/>
      <c r="AD19" s="6"/>
      <c r="AE19" s="6"/>
      <c r="AF19" s="6"/>
      <c r="AG19" s="6"/>
      <c r="AH19" s="6"/>
      <c r="AI19" s="6"/>
      <c r="AJ19" s="6"/>
      <c r="AK19" s="6"/>
      <c r="AL19" s="6"/>
      <c r="AM19" s="6"/>
      <c r="AN19" s="6"/>
      <c r="AO19" s="6"/>
      <c r="AP19" s="6"/>
      <c r="AQ19" s="19"/>
      <c r="AR19" s="19"/>
      <c r="AS19" s="19"/>
      <c r="AT19" s="21"/>
      <c r="AU19" s="6"/>
      <c r="AV19" s="21"/>
      <c r="AW19" s="6"/>
      <c r="AX19" s="19"/>
      <c r="AY19" s="19"/>
      <c r="AZ19" s="6"/>
      <c r="BA19" s="6"/>
      <c r="BB19" s="6"/>
      <c r="BC19" s="6"/>
      <c r="BD19" s="6"/>
      <c r="BE19" s="6"/>
      <c r="BF19" s="6"/>
      <c r="BG19" s="6"/>
      <c r="BH19" s="19"/>
      <c r="BI19" s="19"/>
      <c r="BJ19" s="6"/>
      <c r="BK19" s="6"/>
      <c r="BL19" s="6"/>
      <c r="BM19" s="6"/>
      <c r="BN19" s="6"/>
      <c r="BO19" s="6"/>
      <c r="BP19" s="6"/>
      <c r="BQ19" s="6"/>
      <c r="BR19" s="6"/>
      <c r="BS19" s="6"/>
      <c r="BT19" s="6"/>
      <c r="BU19" s="19"/>
      <c r="BV19" s="6"/>
      <c r="BW19" s="6"/>
      <c r="BX19" s="6"/>
      <c r="BY19" s="6"/>
      <c r="BZ19" s="6"/>
      <c r="CA19" s="6"/>
      <c r="CB19" s="6"/>
      <c r="CC19" s="6"/>
      <c r="CD19" s="6"/>
      <c r="CE19" s="19"/>
      <c r="CF19" s="19"/>
      <c r="CG19" s="19"/>
      <c r="CH19" s="19"/>
      <c r="CI19" s="19"/>
      <c r="CJ19" s="19"/>
      <c r="CK19" s="19"/>
      <c r="CL19" s="19"/>
      <c r="CM19" s="19"/>
      <c r="CN19" s="19"/>
      <c r="CO19" s="6"/>
      <c r="CP19" s="6"/>
      <c r="CQ19" s="6"/>
      <c r="CR19" s="6"/>
      <c r="CS19" s="6"/>
      <c r="CT19" s="6"/>
      <c r="CU19" s="6"/>
      <c r="CV19" s="6"/>
      <c r="CW19" s="6"/>
      <c r="CX19" s="6"/>
      <c r="CY19" s="21"/>
      <c r="CZ19" s="6"/>
      <c r="DA19" s="21"/>
      <c r="DB19" s="6"/>
      <c r="DC19" s="6"/>
      <c r="DD19" s="6"/>
      <c r="DE19" s="6"/>
      <c r="DF19" s="6"/>
      <c r="DG19" s="6"/>
      <c r="DH19" s="6"/>
      <c r="DI19" s="5"/>
      <c r="DJ19" s="5"/>
      <c r="DK19" s="6"/>
      <c r="DL19" s="19"/>
      <c r="DM19" s="5"/>
      <c r="DN19" s="19"/>
      <c r="DO19" s="6"/>
      <c r="DP19" s="6"/>
      <c r="DQ19" s="6"/>
      <c r="DR19" s="19"/>
      <c r="DS19" s="1" t="str">
        <f t="shared" si="1"/>
        <v/>
      </c>
    </row>
    <row r="20" spans="1:123" ht="13.5" customHeight="1" x14ac:dyDescent="0.25">
      <c r="A20" s="17" t="str">
        <f t="shared" si="0"/>
        <v/>
      </c>
      <c r="B20" s="5"/>
      <c r="C20" s="5"/>
      <c r="D20" s="5"/>
      <c r="E20" s="6"/>
      <c r="F20" s="19"/>
      <c r="G20" s="19"/>
      <c r="H20" s="19"/>
      <c r="I20" s="19"/>
      <c r="J20" s="19"/>
      <c r="K20" s="19"/>
      <c r="L20" s="19"/>
      <c r="M20" s="19"/>
      <c r="N20" s="19"/>
      <c r="O20" s="19"/>
      <c r="P20" s="6"/>
      <c r="Q20" s="6"/>
      <c r="R20" s="19"/>
      <c r="S20" s="6"/>
      <c r="T20" s="6"/>
      <c r="U20" s="6"/>
      <c r="V20" s="6"/>
      <c r="W20" s="6"/>
      <c r="X20" s="6"/>
      <c r="Y20" s="6"/>
      <c r="Z20" s="6"/>
      <c r="AA20" s="6"/>
      <c r="AB20" s="6"/>
      <c r="AC20" s="6"/>
      <c r="AD20" s="6"/>
      <c r="AE20" s="6"/>
      <c r="AF20" s="6"/>
      <c r="AG20" s="6"/>
      <c r="AH20" s="6"/>
      <c r="AI20" s="6"/>
      <c r="AJ20" s="6"/>
      <c r="AK20" s="6"/>
      <c r="AL20" s="6"/>
      <c r="AM20" s="6"/>
      <c r="AN20" s="6"/>
      <c r="AO20" s="6"/>
      <c r="AP20" s="6"/>
      <c r="AQ20" s="19"/>
      <c r="AR20" s="19"/>
      <c r="AS20" s="19"/>
      <c r="AT20" s="21"/>
      <c r="AU20" s="6"/>
      <c r="AV20" s="21"/>
      <c r="AW20" s="6"/>
      <c r="AX20" s="19"/>
      <c r="AY20" s="19"/>
      <c r="AZ20" s="6"/>
      <c r="BA20" s="6"/>
      <c r="BB20" s="6"/>
      <c r="BC20" s="6"/>
      <c r="BD20" s="6"/>
      <c r="BE20" s="6"/>
      <c r="BF20" s="6"/>
      <c r="BG20" s="6"/>
      <c r="BH20" s="19"/>
      <c r="BI20" s="19"/>
      <c r="BJ20" s="6"/>
      <c r="BK20" s="6"/>
      <c r="BL20" s="6"/>
      <c r="BM20" s="6"/>
      <c r="BN20" s="6"/>
      <c r="BO20" s="6"/>
      <c r="BP20" s="6"/>
      <c r="BQ20" s="6"/>
      <c r="BR20" s="6"/>
      <c r="BS20" s="6"/>
      <c r="BT20" s="6"/>
      <c r="BU20" s="19"/>
      <c r="BV20" s="6"/>
      <c r="BW20" s="6"/>
      <c r="BX20" s="6"/>
      <c r="BY20" s="6"/>
      <c r="BZ20" s="6"/>
      <c r="CA20" s="6"/>
      <c r="CB20" s="6"/>
      <c r="CC20" s="6"/>
      <c r="CD20" s="6"/>
      <c r="CE20" s="19"/>
      <c r="CF20" s="19"/>
      <c r="CG20" s="19"/>
      <c r="CH20" s="19"/>
      <c r="CI20" s="19"/>
      <c r="CJ20" s="19"/>
      <c r="CK20" s="19"/>
      <c r="CL20" s="19"/>
      <c r="CM20" s="19"/>
      <c r="CN20" s="19"/>
      <c r="CO20" s="6"/>
      <c r="CP20" s="6"/>
      <c r="CQ20" s="6"/>
      <c r="CR20" s="6"/>
      <c r="CS20" s="6"/>
      <c r="CT20" s="6"/>
      <c r="CU20" s="6"/>
      <c r="CV20" s="6"/>
      <c r="CW20" s="6"/>
      <c r="CX20" s="6"/>
      <c r="CY20" s="21"/>
      <c r="CZ20" s="6"/>
      <c r="DA20" s="21"/>
      <c r="DB20" s="6"/>
      <c r="DC20" s="6"/>
      <c r="DD20" s="6"/>
      <c r="DE20" s="6"/>
      <c r="DF20" s="6"/>
      <c r="DG20" s="6"/>
      <c r="DH20" s="6"/>
      <c r="DI20" s="5"/>
      <c r="DJ20" s="5"/>
      <c r="DK20" s="6"/>
      <c r="DL20" s="19"/>
      <c r="DM20" s="5"/>
      <c r="DN20" s="19"/>
      <c r="DO20" s="6"/>
      <c r="DP20" s="6"/>
      <c r="DQ20" s="6"/>
      <c r="DR20" s="19"/>
      <c r="DS20" s="1" t="str">
        <f t="shared" si="1"/>
        <v/>
      </c>
    </row>
    <row r="21" spans="1:123" ht="13.5" customHeight="1" x14ac:dyDescent="0.25">
      <c r="A21" s="17" t="str">
        <f t="shared" si="0"/>
        <v/>
      </c>
      <c r="B21" s="5"/>
      <c r="C21" s="5"/>
      <c r="D21" s="5"/>
      <c r="E21" s="6"/>
      <c r="F21" s="19"/>
      <c r="G21" s="19"/>
      <c r="H21" s="19"/>
      <c r="I21" s="19"/>
      <c r="J21" s="19"/>
      <c r="K21" s="19"/>
      <c r="L21" s="19"/>
      <c r="M21" s="19"/>
      <c r="N21" s="19"/>
      <c r="O21" s="19"/>
      <c r="P21" s="6"/>
      <c r="Q21" s="6"/>
      <c r="R21" s="19"/>
      <c r="S21" s="6"/>
      <c r="T21" s="6"/>
      <c r="U21" s="6"/>
      <c r="V21" s="6"/>
      <c r="W21" s="6"/>
      <c r="X21" s="6"/>
      <c r="Y21" s="6"/>
      <c r="Z21" s="6"/>
      <c r="AA21" s="6"/>
      <c r="AB21" s="6"/>
      <c r="AC21" s="6"/>
      <c r="AD21" s="6"/>
      <c r="AE21" s="6"/>
      <c r="AF21" s="6"/>
      <c r="AG21" s="6"/>
      <c r="AH21" s="6"/>
      <c r="AI21" s="6"/>
      <c r="AJ21" s="6"/>
      <c r="AK21" s="6"/>
      <c r="AL21" s="6"/>
      <c r="AM21" s="6"/>
      <c r="AN21" s="6"/>
      <c r="AO21" s="6"/>
      <c r="AP21" s="6"/>
      <c r="AQ21" s="19"/>
      <c r="AR21" s="19"/>
      <c r="AS21" s="19"/>
      <c r="AT21" s="21"/>
      <c r="AU21" s="6"/>
      <c r="AV21" s="21"/>
      <c r="AW21" s="6"/>
      <c r="AX21" s="19"/>
      <c r="AY21" s="19"/>
      <c r="AZ21" s="6"/>
      <c r="BA21" s="6"/>
      <c r="BB21" s="6"/>
      <c r="BC21" s="6"/>
      <c r="BD21" s="6"/>
      <c r="BE21" s="6"/>
      <c r="BF21" s="6"/>
      <c r="BG21" s="6"/>
      <c r="BH21" s="19"/>
      <c r="BI21" s="19"/>
      <c r="BJ21" s="6"/>
      <c r="BK21" s="6"/>
      <c r="BL21" s="6"/>
      <c r="BM21" s="6"/>
      <c r="BN21" s="6"/>
      <c r="BO21" s="6"/>
      <c r="BP21" s="6"/>
      <c r="BQ21" s="6"/>
      <c r="BR21" s="6"/>
      <c r="BS21" s="6"/>
      <c r="BT21" s="6"/>
      <c r="BU21" s="19"/>
      <c r="BV21" s="6"/>
      <c r="BW21" s="6"/>
      <c r="BX21" s="6"/>
      <c r="BY21" s="6"/>
      <c r="BZ21" s="6"/>
      <c r="CA21" s="6"/>
      <c r="CB21" s="6"/>
      <c r="CC21" s="6"/>
      <c r="CD21" s="6"/>
      <c r="CE21" s="19"/>
      <c r="CF21" s="19"/>
      <c r="CG21" s="19"/>
      <c r="CH21" s="19"/>
      <c r="CI21" s="19"/>
      <c r="CJ21" s="19"/>
      <c r="CK21" s="19"/>
      <c r="CL21" s="19"/>
      <c r="CM21" s="19"/>
      <c r="CN21" s="19"/>
      <c r="CO21" s="6"/>
      <c r="CP21" s="6"/>
      <c r="CQ21" s="6"/>
      <c r="CR21" s="6"/>
      <c r="CS21" s="6"/>
      <c r="CT21" s="6"/>
      <c r="CU21" s="6"/>
      <c r="CV21" s="6"/>
      <c r="CW21" s="6"/>
      <c r="CX21" s="6"/>
      <c r="CY21" s="21"/>
      <c r="CZ21" s="6"/>
      <c r="DA21" s="21"/>
      <c r="DB21" s="6"/>
      <c r="DC21" s="6"/>
      <c r="DD21" s="6"/>
      <c r="DE21" s="6"/>
      <c r="DF21" s="6"/>
      <c r="DG21" s="6"/>
      <c r="DH21" s="6"/>
      <c r="DI21" s="5"/>
      <c r="DJ21" s="5"/>
      <c r="DK21" s="6"/>
      <c r="DL21" s="19"/>
      <c r="DM21" s="5"/>
      <c r="DN21" s="19"/>
      <c r="DO21" s="6"/>
      <c r="DP21" s="6"/>
      <c r="DQ21" s="6"/>
      <c r="DR21" s="19"/>
      <c r="DS21" s="1" t="str">
        <f t="shared" si="1"/>
        <v/>
      </c>
    </row>
    <row r="22" spans="1:123" ht="13.5" customHeight="1" x14ac:dyDescent="0.25">
      <c r="A22" s="17" t="str">
        <f t="shared" si="0"/>
        <v/>
      </c>
      <c r="B22" s="5"/>
      <c r="C22" s="5"/>
      <c r="D22" s="5"/>
      <c r="E22" s="6"/>
      <c r="F22" s="19"/>
      <c r="G22" s="19"/>
      <c r="H22" s="19"/>
      <c r="I22" s="19"/>
      <c r="J22" s="19"/>
      <c r="K22" s="19"/>
      <c r="L22" s="19"/>
      <c r="M22" s="19"/>
      <c r="N22" s="19"/>
      <c r="O22" s="19"/>
      <c r="P22" s="6"/>
      <c r="Q22" s="6"/>
      <c r="R22" s="19"/>
      <c r="S22" s="6"/>
      <c r="T22" s="6"/>
      <c r="U22" s="6"/>
      <c r="V22" s="6"/>
      <c r="W22" s="6"/>
      <c r="X22" s="6"/>
      <c r="Y22" s="6"/>
      <c r="Z22" s="6"/>
      <c r="AA22" s="6"/>
      <c r="AB22" s="6"/>
      <c r="AC22" s="6"/>
      <c r="AD22" s="6"/>
      <c r="AE22" s="6"/>
      <c r="AF22" s="6"/>
      <c r="AG22" s="6"/>
      <c r="AH22" s="6"/>
      <c r="AI22" s="6"/>
      <c r="AJ22" s="6"/>
      <c r="AK22" s="6"/>
      <c r="AL22" s="6"/>
      <c r="AM22" s="6"/>
      <c r="AN22" s="6"/>
      <c r="AO22" s="6"/>
      <c r="AP22" s="6"/>
      <c r="AQ22" s="19"/>
      <c r="AR22" s="19"/>
      <c r="AS22" s="19"/>
      <c r="AT22" s="21"/>
      <c r="AU22" s="6"/>
      <c r="AV22" s="21"/>
      <c r="AW22" s="6"/>
      <c r="AX22" s="19"/>
      <c r="AY22" s="19"/>
      <c r="AZ22" s="6"/>
      <c r="BA22" s="6"/>
      <c r="BB22" s="6"/>
      <c r="BC22" s="6"/>
      <c r="BD22" s="6"/>
      <c r="BE22" s="6"/>
      <c r="BF22" s="6"/>
      <c r="BG22" s="6"/>
      <c r="BH22" s="19"/>
      <c r="BI22" s="19"/>
      <c r="BJ22" s="6"/>
      <c r="BK22" s="6"/>
      <c r="BL22" s="6"/>
      <c r="BM22" s="6"/>
      <c r="BN22" s="6"/>
      <c r="BO22" s="6"/>
      <c r="BP22" s="6"/>
      <c r="BQ22" s="6"/>
      <c r="BR22" s="6"/>
      <c r="BS22" s="6"/>
      <c r="BT22" s="6"/>
      <c r="BU22" s="19"/>
      <c r="BV22" s="6"/>
      <c r="BW22" s="6"/>
      <c r="BX22" s="6"/>
      <c r="BY22" s="6"/>
      <c r="BZ22" s="6"/>
      <c r="CA22" s="6"/>
      <c r="CB22" s="6"/>
      <c r="CC22" s="6"/>
      <c r="CD22" s="6"/>
      <c r="CE22" s="19"/>
      <c r="CF22" s="19"/>
      <c r="CG22" s="19"/>
      <c r="CH22" s="19"/>
      <c r="CI22" s="19"/>
      <c r="CJ22" s="19"/>
      <c r="CK22" s="19"/>
      <c r="CL22" s="19"/>
      <c r="CM22" s="19"/>
      <c r="CN22" s="19"/>
      <c r="CO22" s="6"/>
      <c r="CP22" s="6"/>
      <c r="CQ22" s="6"/>
      <c r="CR22" s="6"/>
      <c r="CS22" s="6"/>
      <c r="CT22" s="6"/>
      <c r="CU22" s="6"/>
      <c r="CV22" s="6"/>
      <c r="CW22" s="6"/>
      <c r="CX22" s="6"/>
      <c r="CY22" s="21"/>
      <c r="CZ22" s="6"/>
      <c r="DA22" s="21"/>
      <c r="DB22" s="6"/>
      <c r="DC22" s="6"/>
      <c r="DD22" s="6"/>
      <c r="DE22" s="6"/>
      <c r="DF22" s="6"/>
      <c r="DG22" s="6"/>
      <c r="DH22" s="6"/>
      <c r="DI22" s="5"/>
      <c r="DJ22" s="5"/>
      <c r="DK22" s="6"/>
      <c r="DL22" s="19"/>
      <c r="DM22" s="5"/>
      <c r="DN22" s="19"/>
      <c r="DO22" s="6"/>
      <c r="DP22" s="6"/>
      <c r="DQ22" s="6"/>
      <c r="DR22" s="19"/>
      <c r="DS22" s="1" t="str">
        <f t="shared" si="1"/>
        <v/>
      </c>
    </row>
    <row r="23" spans="1:123" ht="13.5" customHeight="1" x14ac:dyDescent="0.25">
      <c r="A23" s="17" t="str">
        <f t="shared" si="0"/>
        <v/>
      </c>
      <c r="B23" s="5"/>
      <c r="C23" s="5"/>
      <c r="D23" s="5"/>
      <c r="E23" s="6"/>
      <c r="F23" s="19"/>
      <c r="G23" s="19"/>
      <c r="H23" s="19"/>
      <c r="I23" s="19"/>
      <c r="J23" s="19"/>
      <c r="K23" s="19"/>
      <c r="L23" s="19"/>
      <c r="M23" s="19"/>
      <c r="N23" s="19"/>
      <c r="O23" s="19"/>
      <c r="P23" s="6"/>
      <c r="Q23" s="6"/>
      <c r="R23" s="19"/>
      <c r="S23" s="6"/>
      <c r="T23" s="6"/>
      <c r="U23" s="6"/>
      <c r="V23" s="6"/>
      <c r="W23" s="6"/>
      <c r="X23" s="6"/>
      <c r="Y23" s="6"/>
      <c r="Z23" s="6"/>
      <c r="AA23" s="6"/>
      <c r="AB23" s="6"/>
      <c r="AC23" s="6"/>
      <c r="AD23" s="6"/>
      <c r="AE23" s="6"/>
      <c r="AF23" s="6"/>
      <c r="AG23" s="6"/>
      <c r="AH23" s="6"/>
      <c r="AI23" s="6"/>
      <c r="AJ23" s="6"/>
      <c r="AK23" s="6"/>
      <c r="AL23" s="6"/>
      <c r="AM23" s="6"/>
      <c r="AN23" s="6"/>
      <c r="AO23" s="6"/>
      <c r="AP23" s="6"/>
      <c r="AQ23" s="19"/>
      <c r="AR23" s="19"/>
      <c r="AS23" s="19"/>
      <c r="AT23" s="21"/>
      <c r="AU23" s="6"/>
      <c r="AV23" s="21"/>
      <c r="AW23" s="6"/>
      <c r="AX23" s="19"/>
      <c r="AY23" s="19"/>
      <c r="AZ23" s="6"/>
      <c r="BA23" s="6"/>
      <c r="BB23" s="6"/>
      <c r="BC23" s="6"/>
      <c r="BD23" s="6"/>
      <c r="BE23" s="6"/>
      <c r="BF23" s="6"/>
      <c r="BG23" s="6"/>
      <c r="BH23" s="19"/>
      <c r="BI23" s="19"/>
      <c r="BJ23" s="6"/>
      <c r="BK23" s="6"/>
      <c r="BL23" s="6"/>
      <c r="BM23" s="6"/>
      <c r="BN23" s="6"/>
      <c r="BO23" s="6"/>
      <c r="BP23" s="6"/>
      <c r="BQ23" s="6"/>
      <c r="BR23" s="6"/>
      <c r="BS23" s="6"/>
      <c r="BT23" s="6"/>
      <c r="BU23" s="19"/>
      <c r="BV23" s="6"/>
      <c r="BW23" s="6"/>
      <c r="BX23" s="6"/>
      <c r="BY23" s="6"/>
      <c r="BZ23" s="6"/>
      <c r="CA23" s="6"/>
      <c r="CB23" s="6"/>
      <c r="CC23" s="6"/>
      <c r="CD23" s="6"/>
      <c r="CE23" s="19"/>
      <c r="CF23" s="19"/>
      <c r="CG23" s="19"/>
      <c r="CH23" s="19"/>
      <c r="CI23" s="19"/>
      <c r="CJ23" s="19"/>
      <c r="CK23" s="19"/>
      <c r="CL23" s="19"/>
      <c r="CM23" s="19"/>
      <c r="CN23" s="19"/>
      <c r="CO23" s="6"/>
      <c r="CP23" s="6"/>
      <c r="CQ23" s="6"/>
      <c r="CR23" s="6"/>
      <c r="CS23" s="6"/>
      <c r="CT23" s="6"/>
      <c r="CU23" s="6"/>
      <c r="CV23" s="6"/>
      <c r="CW23" s="6"/>
      <c r="CX23" s="6"/>
      <c r="CY23" s="21"/>
      <c r="CZ23" s="6"/>
      <c r="DA23" s="21"/>
      <c r="DB23" s="6"/>
      <c r="DC23" s="6"/>
      <c r="DD23" s="6"/>
      <c r="DE23" s="6"/>
      <c r="DF23" s="6"/>
      <c r="DG23" s="6"/>
      <c r="DH23" s="6"/>
      <c r="DI23" s="5"/>
      <c r="DJ23" s="5"/>
      <c r="DK23" s="6"/>
      <c r="DL23" s="19"/>
      <c r="DM23" s="5"/>
      <c r="DN23" s="19"/>
      <c r="DO23" s="6"/>
      <c r="DP23" s="6"/>
      <c r="DQ23" s="6"/>
      <c r="DR23" s="19"/>
      <c r="DS23" s="1" t="str">
        <f t="shared" si="1"/>
        <v/>
      </c>
    </row>
    <row r="24" spans="1:123" ht="13.5" customHeight="1" x14ac:dyDescent="0.25">
      <c r="A24" s="17" t="str">
        <f t="shared" si="0"/>
        <v/>
      </c>
      <c r="B24" s="5"/>
      <c r="C24" s="5"/>
      <c r="D24" s="5"/>
      <c r="E24" s="6"/>
      <c r="F24" s="19"/>
      <c r="G24" s="19"/>
      <c r="H24" s="19"/>
      <c r="I24" s="19"/>
      <c r="J24" s="19"/>
      <c r="K24" s="19"/>
      <c r="L24" s="19"/>
      <c r="M24" s="19"/>
      <c r="N24" s="19"/>
      <c r="O24" s="19"/>
      <c r="P24" s="6"/>
      <c r="Q24" s="6"/>
      <c r="R24" s="19"/>
      <c r="S24" s="6"/>
      <c r="T24" s="6"/>
      <c r="U24" s="6"/>
      <c r="V24" s="6"/>
      <c r="W24" s="6"/>
      <c r="X24" s="6"/>
      <c r="Y24" s="6"/>
      <c r="Z24" s="6"/>
      <c r="AA24" s="6"/>
      <c r="AB24" s="6"/>
      <c r="AC24" s="6"/>
      <c r="AD24" s="6"/>
      <c r="AE24" s="6"/>
      <c r="AF24" s="6"/>
      <c r="AG24" s="6"/>
      <c r="AH24" s="6"/>
      <c r="AI24" s="6"/>
      <c r="AJ24" s="6"/>
      <c r="AK24" s="6"/>
      <c r="AL24" s="6"/>
      <c r="AM24" s="6"/>
      <c r="AN24" s="6"/>
      <c r="AO24" s="6"/>
      <c r="AP24" s="6"/>
      <c r="AQ24" s="19"/>
      <c r="AR24" s="19"/>
      <c r="AS24" s="19"/>
      <c r="AT24" s="21"/>
      <c r="AU24" s="6"/>
      <c r="AV24" s="21"/>
      <c r="AW24" s="6"/>
      <c r="AX24" s="19"/>
      <c r="AY24" s="19"/>
      <c r="AZ24" s="6"/>
      <c r="BA24" s="6"/>
      <c r="BB24" s="6"/>
      <c r="BC24" s="6"/>
      <c r="BD24" s="6"/>
      <c r="BE24" s="6"/>
      <c r="BF24" s="6"/>
      <c r="BG24" s="6"/>
      <c r="BH24" s="19"/>
      <c r="BI24" s="19"/>
      <c r="BJ24" s="6"/>
      <c r="BK24" s="6"/>
      <c r="BL24" s="6"/>
      <c r="BM24" s="6"/>
      <c r="BN24" s="6"/>
      <c r="BO24" s="6"/>
      <c r="BP24" s="6"/>
      <c r="BQ24" s="6"/>
      <c r="BR24" s="6"/>
      <c r="BS24" s="6"/>
      <c r="BT24" s="6"/>
      <c r="BU24" s="19"/>
      <c r="BV24" s="6"/>
      <c r="BW24" s="6"/>
      <c r="BX24" s="6"/>
      <c r="BY24" s="6"/>
      <c r="BZ24" s="6"/>
      <c r="CA24" s="6"/>
      <c r="CB24" s="6"/>
      <c r="CC24" s="6"/>
      <c r="CD24" s="6"/>
      <c r="CE24" s="19"/>
      <c r="CF24" s="19"/>
      <c r="CG24" s="19"/>
      <c r="CH24" s="19"/>
      <c r="CI24" s="19"/>
      <c r="CJ24" s="19"/>
      <c r="CK24" s="19"/>
      <c r="CL24" s="19"/>
      <c r="CM24" s="19"/>
      <c r="CN24" s="19"/>
      <c r="CO24" s="6"/>
      <c r="CP24" s="6"/>
      <c r="CQ24" s="6"/>
      <c r="CR24" s="6"/>
      <c r="CS24" s="6"/>
      <c r="CT24" s="6"/>
      <c r="CU24" s="6"/>
      <c r="CV24" s="6"/>
      <c r="CW24" s="6"/>
      <c r="CX24" s="6"/>
      <c r="CY24" s="21"/>
      <c r="CZ24" s="6"/>
      <c r="DA24" s="21"/>
      <c r="DB24" s="6"/>
      <c r="DC24" s="6"/>
      <c r="DD24" s="6"/>
      <c r="DE24" s="6"/>
      <c r="DF24" s="6"/>
      <c r="DG24" s="6"/>
      <c r="DH24" s="6"/>
      <c r="DI24" s="5"/>
      <c r="DJ24" s="5"/>
      <c r="DK24" s="6"/>
      <c r="DL24" s="19"/>
      <c r="DM24" s="5"/>
      <c r="DN24" s="19"/>
      <c r="DO24" s="6"/>
      <c r="DP24" s="6"/>
      <c r="DQ24" s="6"/>
      <c r="DR24" s="19"/>
      <c r="DS24" s="1" t="str">
        <f t="shared" si="1"/>
        <v/>
      </c>
    </row>
    <row r="25" spans="1:123" ht="13.5" customHeight="1" x14ac:dyDescent="0.25">
      <c r="A25" s="17" t="str">
        <f t="shared" si="0"/>
        <v/>
      </c>
      <c r="B25" s="5"/>
      <c r="C25" s="5"/>
      <c r="D25" s="5"/>
      <c r="E25" s="6"/>
      <c r="F25" s="19"/>
      <c r="G25" s="19"/>
      <c r="H25" s="19"/>
      <c r="I25" s="19"/>
      <c r="J25" s="19"/>
      <c r="K25" s="19"/>
      <c r="L25" s="19"/>
      <c r="M25" s="19"/>
      <c r="N25" s="19"/>
      <c r="O25" s="19"/>
      <c r="P25" s="6"/>
      <c r="Q25" s="6"/>
      <c r="R25" s="19"/>
      <c r="S25" s="6"/>
      <c r="T25" s="6"/>
      <c r="U25" s="6"/>
      <c r="V25" s="6"/>
      <c r="W25" s="6"/>
      <c r="X25" s="6"/>
      <c r="Y25" s="6"/>
      <c r="Z25" s="6"/>
      <c r="AA25" s="6"/>
      <c r="AB25" s="6"/>
      <c r="AC25" s="6"/>
      <c r="AD25" s="6"/>
      <c r="AE25" s="6"/>
      <c r="AF25" s="6"/>
      <c r="AG25" s="6"/>
      <c r="AH25" s="6"/>
      <c r="AI25" s="6"/>
      <c r="AJ25" s="6"/>
      <c r="AK25" s="6"/>
      <c r="AL25" s="6"/>
      <c r="AM25" s="6"/>
      <c r="AN25" s="6"/>
      <c r="AO25" s="6"/>
      <c r="AP25" s="6"/>
      <c r="AQ25" s="19"/>
      <c r="AR25" s="19"/>
      <c r="AS25" s="19"/>
      <c r="AT25" s="21"/>
      <c r="AU25" s="6"/>
      <c r="AV25" s="21"/>
      <c r="AW25" s="6"/>
      <c r="AX25" s="19"/>
      <c r="AY25" s="19"/>
      <c r="AZ25" s="6"/>
      <c r="BA25" s="6"/>
      <c r="BB25" s="6"/>
      <c r="BC25" s="6"/>
      <c r="BD25" s="6"/>
      <c r="BE25" s="6"/>
      <c r="BF25" s="6"/>
      <c r="BG25" s="6"/>
      <c r="BH25" s="19"/>
      <c r="BI25" s="19"/>
      <c r="BJ25" s="6"/>
      <c r="BK25" s="6"/>
      <c r="BL25" s="6"/>
      <c r="BM25" s="6"/>
      <c r="BN25" s="6"/>
      <c r="BO25" s="6"/>
      <c r="BP25" s="6"/>
      <c r="BQ25" s="6"/>
      <c r="BR25" s="6"/>
      <c r="BS25" s="6"/>
      <c r="BT25" s="6"/>
      <c r="BU25" s="19"/>
      <c r="BV25" s="6"/>
      <c r="BW25" s="6"/>
      <c r="BX25" s="6"/>
      <c r="BY25" s="6"/>
      <c r="BZ25" s="6"/>
      <c r="CA25" s="6"/>
      <c r="CB25" s="6"/>
      <c r="CC25" s="6"/>
      <c r="CD25" s="6"/>
      <c r="CE25" s="19"/>
      <c r="CF25" s="19"/>
      <c r="CG25" s="19"/>
      <c r="CH25" s="19"/>
      <c r="CI25" s="19"/>
      <c r="CJ25" s="19"/>
      <c r="CK25" s="19"/>
      <c r="CL25" s="19"/>
      <c r="CM25" s="19"/>
      <c r="CN25" s="19"/>
      <c r="CO25" s="6"/>
      <c r="CP25" s="6"/>
      <c r="CQ25" s="6"/>
      <c r="CR25" s="6"/>
      <c r="CS25" s="6"/>
      <c r="CT25" s="6"/>
      <c r="CU25" s="6"/>
      <c r="CV25" s="6"/>
      <c r="CW25" s="6"/>
      <c r="CX25" s="6"/>
      <c r="CY25" s="21"/>
      <c r="CZ25" s="6"/>
      <c r="DA25" s="21"/>
      <c r="DB25" s="6"/>
      <c r="DC25" s="6"/>
      <c r="DD25" s="6"/>
      <c r="DE25" s="6"/>
      <c r="DF25" s="6"/>
      <c r="DG25" s="6"/>
      <c r="DH25" s="6"/>
      <c r="DI25" s="5"/>
      <c r="DJ25" s="5"/>
      <c r="DK25" s="6"/>
      <c r="DL25" s="19"/>
      <c r="DM25" s="5"/>
      <c r="DN25" s="19"/>
      <c r="DO25" s="6"/>
      <c r="DP25" s="6"/>
      <c r="DQ25" s="6"/>
      <c r="DR25" s="19"/>
      <c r="DS25" s="1" t="str">
        <f t="shared" si="1"/>
        <v/>
      </c>
    </row>
    <row r="26" spans="1:123" ht="13.5" customHeight="1" x14ac:dyDescent="0.25">
      <c r="A26" s="17" t="str">
        <f t="shared" si="0"/>
        <v/>
      </c>
      <c r="B26" s="5"/>
      <c r="C26" s="5"/>
      <c r="D26" s="5"/>
      <c r="E26" s="6"/>
      <c r="F26" s="19"/>
      <c r="G26" s="19"/>
      <c r="H26" s="19"/>
      <c r="I26" s="19"/>
      <c r="J26" s="19"/>
      <c r="K26" s="19"/>
      <c r="L26" s="19"/>
      <c r="M26" s="19"/>
      <c r="N26" s="19"/>
      <c r="O26" s="19"/>
      <c r="P26" s="6"/>
      <c r="Q26" s="6"/>
      <c r="R26" s="19"/>
      <c r="S26" s="6"/>
      <c r="T26" s="6"/>
      <c r="U26" s="6"/>
      <c r="V26" s="6"/>
      <c r="W26" s="6"/>
      <c r="X26" s="6"/>
      <c r="Y26" s="6"/>
      <c r="Z26" s="6"/>
      <c r="AA26" s="6"/>
      <c r="AB26" s="6"/>
      <c r="AC26" s="6"/>
      <c r="AD26" s="6"/>
      <c r="AE26" s="6"/>
      <c r="AF26" s="6"/>
      <c r="AG26" s="6"/>
      <c r="AH26" s="6"/>
      <c r="AI26" s="6"/>
      <c r="AJ26" s="6"/>
      <c r="AK26" s="6"/>
      <c r="AL26" s="6"/>
      <c r="AM26" s="6"/>
      <c r="AN26" s="6"/>
      <c r="AO26" s="6"/>
      <c r="AP26" s="6"/>
      <c r="AQ26" s="19"/>
      <c r="AR26" s="19"/>
      <c r="AS26" s="19"/>
      <c r="AT26" s="21"/>
      <c r="AU26" s="6"/>
      <c r="AV26" s="21"/>
      <c r="AW26" s="6"/>
      <c r="AX26" s="19"/>
      <c r="AY26" s="19"/>
      <c r="AZ26" s="6"/>
      <c r="BA26" s="6"/>
      <c r="BB26" s="6"/>
      <c r="BC26" s="6"/>
      <c r="BD26" s="6"/>
      <c r="BE26" s="6"/>
      <c r="BF26" s="6"/>
      <c r="BG26" s="6"/>
      <c r="BH26" s="19"/>
      <c r="BI26" s="19"/>
      <c r="BJ26" s="6"/>
      <c r="BK26" s="6"/>
      <c r="BL26" s="6"/>
      <c r="BM26" s="6"/>
      <c r="BN26" s="6"/>
      <c r="BO26" s="6"/>
      <c r="BP26" s="6"/>
      <c r="BQ26" s="6"/>
      <c r="BR26" s="6"/>
      <c r="BS26" s="6"/>
      <c r="BT26" s="6"/>
      <c r="BU26" s="19"/>
      <c r="BV26" s="6"/>
      <c r="BW26" s="6"/>
      <c r="BX26" s="6"/>
      <c r="BY26" s="6"/>
      <c r="BZ26" s="6"/>
      <c r="CA26" s="6"/>
      <c r="CB26" s="6"/>
      <c r="CC26" s="6"/>
      <c r="CD26" s="6"/>
      <c r="CE26" s="19"/>
      <c r="CF26" s="19"/>
      <c r="CG26" s="19"/>
      <c r="CH26" s="19"/>
      <c r="CI26" s="19"/>
      <c r="CJ26" s="19"/>
      <c r="CK26" s="19"/>
      <c r="CL26" s="19"/>
      <c r="CM26" s="19"/>
      <c r="CN26" s="19"/>
      <c r="CO26" s="6"/>
      <c r="CP26" s="6"/>
      <c r="CQ26" s="6"/>
      <c r="CR26" s="6"/>
      <c r="CS26" s="6"/>
      <c r="CT26" s="6"/>
      <c r="CU26" s="6"/>
      <c r="CV26" s="6"/>
      <c r="CW26" s="6"/>
      <c r="CX26" s="6"/>
      <c r="CY26" s="21"/>
      <c r="CZ26" s="6"/>
      <c r="DA26" s="21"/>
      <c r="DB26" s="6"/>
      <c r="DC26" s="6"/>
      <c r="DD26" s="6"/>
      <c r="DE26" s="6"/>
      <c r="DF26" s="6"/>
      <c r="DG26" s="6"/>
      <c r="DH26" s="6"/>
      <c r="DI26" s="5"/>
      <c r="DJ26" s="5"/>
      <c r="DK26" s="6"/>
      <c r="DL26" s="19"/>
      <c r="DM26" s="5"/>
      <c r="DN26" s="19"/>
      <c r="DO26" s="6"/>
      <c r="DP26" s="6"/>
      <c r="DQ26" s="6"/>
      <c r="DR26" s="19"/>
      <c r="DS26" s="1" t="str">
        <f t="shared" si="1"/>
        <v/>
      </c>
    </row>
    <row r="27" spans="1:123" ht="13.5" customHeight="1" x14ac:dyDescent="0.25">
      <c r="A27" s="17" t="str">
        <f t="shared" si="0"/>
        <v/>
      </c>
      <c r="B27" s="5"/>
      <c r="C27" s="5"/>
      <c r="D27" s="5"/>
      <c r="E27" s="6"/>
      <c r="F27" s="19"/>
      <c r="G27" s="19"/>
      <c r="H27" s="19"/>
      <c r="I27" s="19"/>
      <c r="J27" s="19"/>
      <c r="K27" s="19"/>
      <c r="L27" s="19"/>
      <c r="M27" s="19"/>
      <c r="N27" s="19"/>
      <c r="O27" s="19"/>
      <c r="P27" s="6"/>
      <c r="Q27" s="6"/>
      <c r="R27" s="19"/>
      <c r="S27" s="6"/>
      <c r="T27" s="6"/>
      <c r="U27" s="6"/>
      <c r="V27" s="6"/>
      <c r="W27" s="6"/>
      <c r="X27" s="6"/>
      <c r="Y27" s="6"/>
      <c r="Z27" s="6"/>
      <c r="AA27" s="6"/>
      <c r="AB27" s="6"/>
      <c r="AC27" s="6"/>
      <c r="AD27" s="6"/>
      <c r="AE27" s="6"/>
      <c r="AF27" s="6"/>
      <c r="AG27" s="6"/>
      <c r="AH27" s="6"/>
      <c r="AI27" s="6"/>
      <c r="AJ27" s="6"/>
      <c r="AK27" s="6"/>
      <c r="AL27" s="6"/>
      <c r="AM27" s="6"/>
      <c r="AN27" s="6"/>
      <c r="AO27" s="6"/>
      <c r="AP27" s="6"/>
      <c r="AQ27" s="19"/>
      <c r="AR27" s="19"/>
      <c r="AS27" s="19"/>
      <c r="AT27" s="21"/>
      <c r="AU27" s="6"/>
      <c r="AV27" s="21"/>
      <c r="AW27" s="6"/>
      <c r="AX27" s="19"/>
      <c r="AY27" s="19"/>
      <c r="AZ27" s="6"/>
      <c r="BA27" s="6"/>
      <c r="BB27" s="6"/>
      <c r="BC27" s="6"/>
      <c r="BD27" s="6"/>
      <c r="BE27" s="6"/>
      <c r="BF27" s="6"/>
      <c r="BG27" s="6"/>
      <c r="BH27" s="19"/>
      <c r="BI27" s="19"/>
      <c r="BJ27" s="6"/>
      <c r="BK27" s="6"/>
      <c r="BL27" s="6"/>
      <c r="BM27" s="6"/>
      <c r="BN27" s="6"/>
      <c r="BO27" s="6"/>
      <c r="BP27" s="6"/>
      <c r="BQ27" s="6"/>
      <c r="BR27" s="6"/>
      <c r="BS27" s="6"/>
      <c r="BT27" s="6"/>
      <c r="BU27" s="19"/>
      <c r="BV27" s="6"/>
      <c r="BW27" s="6"/>
      <c r="BX27" s="6"/>
      <c r="BY27" s="6"/>
      <c r="BZ27" s="6"/>
      <c r="CA27" s="6"/>
      <c r="CB27" s="6"/>
      <c r="CC27" s="6"/>
      <c r="CD27" s="6"/>
      <c r="CE27" s="19"/>
      <c r="CF27" s="19"/>
      <c r="CG27" s="19"/>
      <c r="CH27" s="19"/>
      <c r="CI27" s="19"/>
      <c r="CJ27" s="19"/>
      <c r="CK27" s="19"/>
      <c r="CL27" s="19"/>
      <c r="CM27" s="19"/>
      <c r="CN27" s="19"/>
      <c r="CO27" s="6"/>
      <c r="CP27" s="6"/>
      <c r="CQ27" s="6"/>
      <c r="CR27" s="6"/>
      <c r="CS27" s="6"/>
      <c r="CT27" s="6"/>
      <c r="CU27" s="6"/>
      <c r="CV27" s="6"/>
      <c r="CW27" s="6"/>
      <c r="CX27" s="6"/>
      <c r="CY27" s="21"/>
      <c r="CZ27" s="6"/>
      <c r="DA27" s="21"/>
      <c r="DB27" s="6"/>
      <c r="DC27" s="6"/>
      <c r="DD27" s="6"/>
      <c r="DE27" s="6"/>
      <c r="DF27" s="6"/>
      <c r="DG27" s="6"/>
      <c r="DH27" s="6"/>
      <c r="DI27" s="5"/>
      <c r="DJ27" s="5"/>
      <c r="DK27" s="6"/>
      <c r="DL27" s="19"/>
      <c r="DM27" s="5"/>
      <c r="DN27" s="19"/>
      <c r="DO27" s="6"/>
      <c r="DP27" s="6"/>
      <c r="DQ27" s="6"/>
      <c r="DR27" s="19"/>
      <c r="DS27" s="1" t="str">
        <f t="shared" si="1"/>
        <v/>
      </c>
    </row>
    <row r="28" spans="1:123" ht="13.5" customHeight="1" x14ac:dyDescent="0.25">
      <c r="A28" s="17" t="str">
        <f t="shared" si="0"/>
        <v/>
      </c>
      <c r="B28" s="5"/>
      <c r="C28" s="5"/>
      <c r="D28" s="5"/>
      <c r="E28" s="6"/>
      <c r="F28" s="19"/>
      <c r="G28" s="19"/>
      <c r="H28" s="19"/>
      <c r="I28" s="19"/>
      <c r="J28" s="19"/>
      <c r="K28" s="19"/>
      <c r="L28" s="19"/>
      <c r="M28" s="19"/>
      <c r="N28" s="19"/>
      <c r="O28" s="19"/>
      <c r="P28" s="6"/>
      <c r="Q28" s="6"/>
      <c r="R28" s="19"/>
      <c r="S28" s="6"/>
      <c r="T28" s="6"/>
      <c r="U28" s="6"/>
      <c r="V28" s="6"/>
      <c r="W28" s="6"/>
      <c r="X28" s="6"/>
      <c r="Y28" s="6"/>
      <c r="Z28" s="6"/>
      <c r="AA28" s="6"/>
      <c r="AB28" s="6"/>
      <c r="AC28" s="6"/>
      <c r="AD28" s="6"/>
      <c r="AE28" s="6"/>
      <c r="AF28" s="6"/>
      <c r="AG28" s="6"/>
      <c r="AH28" s="6"/>
      <c r="AI28" s="6"/>
      <c r="AJ28" s="6"/>
      <c r="AK28" s="6"/>
      <c r="AL28" s="6"/>
      <c r="AM28" s="6"/>
      <c r="AN28" s="6"/>
      <c r="AO28" s="6"/>
      <c r="AP28" s="6"/>
      <c r="AQ28" s="19"/>
      <c r="AR28" s="19"/>
      <c r="AS28" s="19"/>
      <c r="AT28" s="21"/>
      <c r="AU28" s="6"/>
      <c r="AV28" s="21"/>
      <c r="AW28" s="6"/>
      <c r="AX28" s="19"/>
      <c r="AY28" s="19"/>
      <c r="AZ28" s="6"/>
      <c r="BA28" s="6"/>
      <c r="BB28" s="6"/>
      <c r="BC28" s="6"/>
      <c r="BD28" s="6"/>
      <c r="BE28" s="6"/>
      <c r="BF28" s="6"/>
      <c r="BG28" s="6"/>
      <c r="BH28" s="19"/>
      <c r="BI28" s="19"/>
      <c r="BJ28" s="6"/>
      <c r="BK28" s="6"/>
      <c r="BL28" s="6"/>
      <c r="BM28" s="6"/>
      <c r="BN28" s="6"/>
      <c r="BO28" s="6"/>
      <c r="BP28" s="6"/>
      <c r="BQ28" s="6"/>
      <c r="BR28" s="6"/>
      <c r="BS28" s="6"/>
      <c r="BT28" s="6"/>
      <c r="BU28" s="19"/>
      <c r="BV28" s="6"/>
      <c r="BW28" s="6"/>
      <c r="BX28" s="6"/>
      <c r="BY28" s="6"/>
      <c r="BZ28" s="6"/>
      <c r="CA28" s="6"/>
      <c r="CB28" s="6"/>
      <c r="CC28" s="6"/>
      <c r="CD28" s="6"/>
      <c r="CE28" s="19"/>
      <c r="CF28" s="19"/>
      <c r="CG28" s="19"/>
      <c r="CH28" s="19"/>
      <c r="CI28" s="19"/>
      <c r="CJ28" s="19"/>
      <c r="CK28" s="19"/>
      <c r="CL28" s="19"/>
      <c r="CM28" s="19"/>
      <c r="CN28" s="19"/>
      <c r="CO28" s="6"/>
      <c r="CP28" s="6"/>
      <c r="CQ28" s="6"/>
      <c r="CR28" s="6"/>
      <c r="CS28" s="6"/>
      <c r="CT28" s="6"/>
      <c r="CU28" s="6"/>
      <c r="CV28" s="6"/>
      <c r="CW28" s="6"/>
      <c r="CX28" s="6"/>
      <c r="CY28" s="21"/>
      <c r="CZ28" s="6"/>
      <c r="DA28" s="21"/>
      <c r="DB28" s="6"/>
      <c r="DC28" s="6"/>
      <c r="DD28" s="6"/>
      <c r="DE28" s="6"/>
      <c r="DF28" s="6"/>
      <c r="DG28" s="6"/>
      <c r="DH28" s="6"/>
      <c r="DI28" s="5"/>
      <c r="DJ28" s="5"/>
      <c r="DK28" s="6"/>
      <c r="DL28" s="19"/>
      <c r="DM28" s="5"/>
      <c r="DN28" s="19"/>
      <c r="DO28" s="6"/>
      <c r="DP28" s="6"/>
      <c r="DQ28" s="6"/>
      <c r="DR28" s="19"/>
      <c r="DS28" s="1" t="str">
        <f t="shared" si="1"/>
        <v/>
      </c>
    </row>
    <row r="29" spans="1:123" ht="13.5" customHeight="1" x14ac:dyDescent="0.25">
      <c r="A29" s="17" t="str">
        <f t="shared" si="0"/>
        <v/>
      </c>
      <c r="B29" s="5"/>
      <c r="C29" s="5"/>
      <c r="D29" s="5"/>
      <c r="E29" s="6"/>
      <c r="F29" s="19"/>
      <c r="G29" s="19"/>
      <c r="H29" s="19"/>
      <c r="I29" s="19"/>
      <c r="J29" s="19"/>
      <c r="K29" s="19"/>
      <c r="L29" s="19"/>
      <c r="M29" s="19"/>
      <c r="N29" s="19"/>
      <c r="O29" s="19"/>
      <c r="P29" s="6"/>
      <c r="Q29" s="6"/>
      <c r="R29" s="19"/>
      <c r="S29" s="6"/>
      <c r="T29" s="6"/>
      <c r="U29" s="6"/>
      <c r="V29" s="6"/>
      <c r="W29" s="6"/>
      <c r="X29" s="6"/>
      <c r="Y29" s="6"/>
      <c r="Z29" s="6"/>
      <c r="AA29" s="6"/>
      <c r="AB29" s="6"/>
      <c r="AC29" s="6"/>
      <c r="AD29" s="6"/>
      <c r="AE29" s="6"/>
      <c r="AF29" s="6"/>
      <c r="AG29" s="6"/>
      <c r="AH29" s="6"/>
      <c r="AI29" s="6"/>
      <c r="AJ29" s="6"/>
      <c r="AK29" s="6"/>
      <c r="AL29" s="6"/>
      <c r="AM29" s="6"/>
      <c r="AN29" s="6"/>
      <c r="AO29" s="6"/>
      <c r="AP29" s="6"/>
      <c r="AQ29" s="19"/>
      <c r="AR29" s="19"/>
      <c r="AS29" s="19"/>
      <c r="AT29" s="21"/>
      <c r="AU29" s="6"/>
      <c r="AV29" s="21"/>
      <c r="AW29" s="6"/>
      <c r="AX29" s="19"/>
      <c r="AY29" s="19"/>
      <c r="AZ29" s="6"/>
      <c r="BA29" s="6"/>
      <c r="BB29" s="6"/>
      <c r="BC29" s="6"/>
      <c r="BD29" s="6"/>
      <c r="BE29" s="6"/>
      <c r="BF29" s="6"/>
      <c r="BG29" s="6"/>
      <c r="BH29" s="19"/>
      <c r="BI29" s="19"/>
      <c r="BJ29" s="6"/>
      <c r="BK29" s="6"/>
      <c r="BL29" s="6"/>
      <c r="BM29" s="6"/>
      <c r="BN29" s="6"/>
      <c r="BO29" s="6"/>
      <c r="BP29" s="6"/>
      <c r="BQ29" s="6"/>
      <c r="BR29" s="6"/>
      <c r="BS29" s="6"/>
      <c r="BT29" s="6"/>
      <c r="BU29" s="19"/>
      <c r="BV29" s="6"/>
      <c r="BW29" s="6"/>
      <c r="BX29" s="6"/>
      <c r="BY29" s="6"/>
      <c r="BZ29" s="6"/>
      <c r="CA29" s="6"/>
      <c r="CB29" s="6"/>
      <c r="CC29" s="6"/>
      <c r="CD29" s="6"/>
      <c r="CE29" s="19"/>
      <c r="CF29" s="19"/>
      <c r="CG29" s="19"/>
      <c r="CH29" s="19"/>
      <c r="CI29" s="19"/>
      <c r="CJ29" s="19"/>
      <c r="CK29" s="19"/>
      <c r="CL29" s="19"/>
      <c r="CM29" s="19"/>
      <c r="CN29" s="19"/>
      <c r="CO29" s="6"/>
      <c r="CP29" s="6"/>
      <c r="CQ29" s="6"/>
      <c r="CR29" s="6"/>
      <c r="CS29" s="6"/>
      <c r="CT29" s="6"/>
      <c r="CU29" s="6"/>
      <c r="CV29" s="6"/>
      <c r="CW29" s="6"/>
      <c r="CX29" s="6"/>
      <c r="CY29" s="21"/>
      <c r="CZ29" s="6"/>
      <c r="DA29" s="21"/>
      <c r="DB29" s="6"/>
      <c r="DC29" s="6"/>
      <c r="DD29" s="6"/>
      <c r="DE29" s="6"/>
      <c r="DF29" s="6"/>
      <c r="DG29" s="6"/>
      <c r="DH29" s="6"/>
      <c r="DI29" s="5"/>
      <c r="DJ29" s="5"/>
      <c r="DK29" s="6"/>
      <c r="DL29" s="19"/>
      <c r="DM29" s="5"/>
      <c r="DN29" s="19"/>
      <c r="DO29" s="6"/>
      <c r="DP29" s="6"/>
      <c r="DQ29" s="6"/>
      <c r="DR29" s="19"/>
      <c r="DS29" s="1" t="str">
        <f t="shared" si="1"/>
        <v/>
      </c>
    </row>
    <row r="30" spans="1:123" ht="13.5" customHeight="1" x14ac:dyDescent="0.25">
      <c r="A30" s="17" t="str">
        <f t="shared" si="0"/>
        <v/>
      </c>
      <c r="B30" s="5"/>
      <c r="C30" s="5"/>
      <c r="D30" s="5"/>
      <c r="E30" s="6"/>
      <c r="F30" s="19"/>
      <c r="G30" s="19"/>
      <c r="H30" s="19"/>
      <c r="I30" s="19"/>
      <c r="J30" s="19"/>
      <c r="K30" s="19"/>
      <c r="L30" s="19"/>
      <c r="M30" s="19"/>
      <c r="N30" s="19"/>
      <c r="O30" s="19"/>
      <c r="P30" s="6"/>
      <c r="Q30" s="6"/>
      <c r="R30" s="19"/>
      <c r="S30" s="6"/>
      <c r="T30" s="6"/>
      <c r="U30" s="6"/>
      <c r="V30" s="6"/>
      <c r="W30" s="6"/>
      <c r="X30" s="6"/>
      <c r="Y30" s="6"/>
      <c r="Z30" s="6"/>
      <c r="AA30" s="6"/>
      <c r="AB30" s="6"/>
      <c r="AC30" s="6"/>
      <c r="AD30" s="6"/>
      <c r="AE30" s="6"/>
      <c r="AF30" s="6"/>
      <c r="AG30" s="6"/>
      <c r="AH30" s="6"/>
      <c r="AI30" s="6"/>
      <c r="AJ30" s="6"/>
      <c r="AK30" s="6"/>
      <c r="AL30" s="6"/>
      <c r="AM30" s="6"/>
      <c r="AN30" s="6"/>
      <c r="AO30" s="6"/>
      <c r="AP30" s="6"/>
      <c r="AQ30" s="19"/>
      <c r="AR30" s="19"/>
      <c r="AS30" s="19"/>
      <c r="AT30" s="21"/>
      <c r="AU30" s="6"/>
      <c r="AV30" s="21"/>
      <c r="AW30" s="6"/>
      <c r="AX30" s="19"/>
      <c r="AY30" s="19"/>
      <c r="AZ30" s="6"/>
      <c r="BA30" s="6"/>
      <c r="BB30" s="6"/>
      <c r="BC30" s="6"/>
      <c r="BD30" s="6"/>
      <c r="BE30" s="6"/>
      <c r="BF30" s="6"/>
      <c r="BG30" s="6"/>
      <c r="BH30" s="19"/>
      <c r="BI30" s="19"/>
      <c r="BJ30" s="6"/>
      <c r="BK30" s="6"/>
      <c r="BL30" s="6"/>
      <c r="BM30" s="6"/>
      <c r="BN30" s="6"/>
      <c r="BO30" s="6"/>
      <c r="BP30" s="6"/>
      <c r="BQ30" s="6"/>
      <c r="BR30" s="6"/>
      <c r="BS30" s="6"/>
      <c r="BT30" s="6"/>
      <c r="BU30" s="19"/>
      <c r="BV30" s="6"/>
      <c r="BW30" s="6"/>
      <c r="BX30" s="6"/>
      <c r="BY30" s="6"/>
      <c r="BZ30" s="6"/>
      <c r="CA30" s="6"/>
      <c r="CB30" s="6"/>
      <c r="CC30" s="6"/>
      <c r="CD30" s="6"/>
      <c r="CE30" s="19"/>
      <c r="CF30" s="19"/>
      <c r="CG30" s="19"/>
      <c r="CH30" s="19"/>
      <c r="CI30" s="19"/>
      <c r="CJ30" s="19"/>
      <c r="CK30" s="19"/>
      <c r="CL30" s="19"/>
      <c r="CM30" s="19"/>
      <c r="CN30" s="19"/>
      <c r="CO30" s="6"/>
      <c r="CP30" s="6"/>
      <c r="CQ30" s="6"/>
      <c r="CR30" s="6"/>
      <c r="CS30" s="6"/>
      <c r="CT30" s="6"/>
      <c r="CU30" s="6"/>
      <c r="CV30" s="6"/>
      <c r="CW30" s="6"/>
      <c r="CX30" s="6"/>
      <c r="CY30" s="21"/>
      <c r="CZ30" s="6"/>
      <c r="DA30" s="21"/>
      <c r="DB30" s="6"/>
      <c r="DC30" s="6"/>
      <c r="DD30" s="6"/>
      <c r="DE30" s="6"/>
      <c r="DF30" s="6"/>
      <c r="DG30" s="6"/>
      <c r="DH30" s="6"/>
      <c r="DI30" s="5"/>
      <c r="DJ30" s="5"/>
      <c r="DK30" s="6"/>
      <c r="DL30" s="19"/>
      <c r="DM30" s="5"/>
      <c r="DN30" s="19"/>
      <c r="DO30" s="6"/>
      <c r="DP30" s="6"/>
      <c r="DQ30" s="6"/>
      <c r="DR30" s="19"/>
      <c r="DS30" s="1" t="str">
        <f t="shared" si="1"/>
        <v/>
      </c>
    </row>
    <row r="31" spans="1:123" ht="13.5" customHeight="1" x14ac:dyDescent="0.25">
      <c r="A31" s="17" t="str">
        <f t="shared" si="0"/>
        <v/>
      </c>
      <c r="B31" s="5"/>
      <c r="C31" s="5"/>
      <c r="D31" s="5"/>
      <c r="E31" s="6"/>
      <c r="F31" s="19"/>
      <c r="G31" s="19"/>
      <c r="H31" s="19"/>
      <c r="I31" s="19"/>
      <c r="J31" s="19"/>
      <c r="K31" s="19"/>
      <c r="L31" s="19"/>
      <c r="M31" s="19"/>
      <c r="N31" s="19"/>
      <c r="O31" s="19"/>
      <c r="P31" s="6"/>
      <c r="Q31" s="6"/>
      <c r="R31" s="19"/>
      <c r="S31" s="6"/>
      <c r="T31" s="6"/>
      <c r="U31" s="6"/>
      <c r="V31" s="6"/>
      <c r="W31" s="6"/>
      <c r="X31" s="6"/>
      <c r="Y31" s="6"/>
      <c r="Z31" s="6"/>
      <c r="AA31" s="6"/>
      <c r="AB31" s="6"/>
      <c r="AC31" s="6"/>
      <c r="AD31" s="6"/>
      <c r="AE31" s="6"/>
      <c r="AF31" s="6"/>
      <c r="AG31" s="6"/>
      <c r="AH31" s="6"/>
      <c r="AI31" s="6"/>
      <c r="AJ31" s="6"/>
      <c r="AK31" s="6"/>
      <c r="AL31" s="6"/>
      <c r="AM31" s="6"/>
      <c r="AN31" s="6"/>
      <c r="AO31" s="6"/>
      <c r="AP31" s="6"/>
      <c r="AQ31" s="19"/>
      <c r="AR31" s="19"/>
      <c r="AS31" s="19"/>
      <c r="AT31" s="21"/>
      <c r="AU31" s="6"/>
      <c r="AV31" s="21"/>
      <c r="AW31" s="6"/>
      <c r="AX31" s="19"/>
      <c r="AY31" s="19"/>
      <c r="AZ31" s="6"/>
      <c r="BA31" s="6"/>
      <c r="BB31" s="6"/>
      <c r="BC31" s="6"/>
      <c r="BD31" s="6"/>
      <c r="BE31" s="6"/>
      <c r="BF31" s="6"/>
      <c r="BG31" s="6"/>
      <c r="BH31" s="19"/>
      <c r="BI31" s="19"/>
      <c r="BJ31" s="6"/>
      <c r="BK31" s="6"/>
      <c r="BL31" s="6"/>
      <c r="BM31" s="6"/>
      <c r="BN31" s="6"/>
      <c r="BO31" s="6"/>
      <c r="BP31" s="6"/>
      <c r="BQ31" s="6"/>
      <c r="BR31" s="6"/>
      <c r="BS31" s="6"/>
      <c r="BT31" s="6"/>
      <c r="BU31" s="19"/>
      <c r="BV31" s="6"/>
      <c r="BW31" s="6"/>
      <c r="BX31" s="6"/>
      <c r="BY31" s="6"/>
      <c r="BZ31" s="6"/>
      <c r="CA31" s="6"/>
      <c r="CB31" s="6"/>
      <c r="CC31" s="6"/>
      <c r="CD31" s="6"/>
      <c r="CE31" s="19"/>
      <c r="CF31" s="19"/>
      <c r="CG31" s="19"/>
      <c r="CH31" s="19"/>
      <c r="CI31" s="19"/>
      <c r="CJ31" s="19"/>
      <c r="CK31" s="19"/>
      <c r="CL31" s="19"/>
      <c r="CM31" s="19"/>
      <c r="CN31" s="19"/>
      <c r="CO31" s="6"/>
      <c r="CP31" s="6"/>
      <c r="CQ31" s="6"/>
      <c r="CR31" s="6"/>
      <c r="CS31" s="6"/>
      <c r="CT31" s="6"/>
      <c r="CU31" s="6"/>
      <c r="CV31" s="6"/>
      <c r="CW31" s="6"/>
      <c r="CX31" s="6"/>
      <c r="CY31" s="21"/>
      <c r="CZ31" s="6"/>
      <c r="DA31" s="21"/>
      <c r="DB31" s="6"/>
      <c r="DC31" s="6"/>
      <c r="DD31" s="6"/>
      <c r="DE31" s="6"/>
      <c r="DF31" s="6"/>
      <c r="DG31" s="6"/>
      <c r="DH31" s="6"/>
      <c r="DI31" s="5"/>
      <c r="DJ31" s="5"/>
      <c r="DK31" s="6"/>
      <c r="DL31" s="19"/>
      <c r="DM31" s="5"/>
      <c r="DN31" s="19"/>
      <c r="DO31" s="6"/>
      <c r="DP31" s="6"/>
      <c r="DQ31" s="6"/>
      <c r="DR31" s="19"/>
      <c r="DS31" s="1" t="str">
        <f t="shared" si="1"/>
        <v/>
      </c>
    </row>
    <row r="32" spans="1:123" ht="13.5" customHeight="1" x14ac:dyDescent="0.25">
      <c r="A32" s="17" t="str">
        <f t="shared" si="0"/>
        <v/>
      </c>
      <c r="B32" s="5"/>
      <c r="C32" s="5"/>
      <c r="D32" s="5"/>
      <c r="E32" s="6"/>
      <c r="F32" s="19"/>
      <c r="G32" s="19"/>
      <c r="H32" s="19"/>
      <c r="I32" s="19"/>
      <c r="J32" s="19"/>
      <c r="K32" s="19"/>
      <c r="L32" s="19"/>
      <c r="M32" s="19"/>
      <c r="N32" s="19"/>
      <c r="O32" s="19"/>
      <c r="P32" s="6"/>
      <c r="Q32" s="6"/>
      <c r="R32" s="19"/>
      <c r="S32" s="6"/>
      <c r="T32" s="6"/>
      <c r="U32" s="6"/>
      <c r="V32" s="6"/>
      <c r="W32" s="6"/>
      <c r="X32" s="6"/>
      <c r="Y32" s="6"/>
      <c r="Z32" s="6"/>
      <c r="AA32" s="6"/>
      <c r="AB32" s="6"/>
      <c r="AC32" s="6"/>
      <c r="AD32" s="6"/>
      <c r="AE32" s="6"/>
      <c r="AF32" s="6"/>
      <c r="AG32" s="6"/>
      <c r="AH32" s="6"/>
      <c r="AI32" s="6"/>
      <c r="AJ32" s="6"/>
      <c r="AK32" s="6"/>
      <c r="AL32" s="6"/>
      <c r="AM32" s="6"/>
      <c r="AN32" s="6"/>
      <c r="AO32" s="6"/>
      <c r="AP32" s="6"/>
      <c r="AQ32" s="19"/>
      <c r="AR32" s="19"/>
      <c r="AS32" s="19"/>
      <c r="AT32" s="21"/>
      <c r="AU32" s="6"/>
      <c r="AV32" s="21"/>
      <c r="AW32" s="6"/>
      <c r="AX32" s="19"/>
      <c r="AY32" s="19"/>
      <c r="AZ32" s="6"/>
      <c r="BA32" s="6"/>
      <c r="BB32" s="6"/>
      <c r="BC32" s="6"/>
      <c r="BD32" s="6"/>
      <c r="BE32" s="6"/>
      <c r="BF32" s="6"/>
      <c r="BG32" s="6"/>
      <c r="BH32" s="19"/>
      <c r="BI32" s="19"/>
      <c r="BJ32" s="6"/>
      <c r="BK32" s="6"/>
      <c r="BL32" s="6"/>
      <c r="BM32" s="6"/>
      <c r="BN32" s="6"/>
      <c r="BO32" s="6"/>
      <c r="BP32" s="6"/>
      <c r="BQ32" s="6"/>
      <c r="BR32" s="6"/>
      <c r="BS32" s="6"/>
      <c r="BT32" s="6"/>
      <c r="BU32" s="19"/>
      <c r="BV32" s="6"/>
      <c r="BW32" s="6"/>
      <c r="BX32" s="6"/>
      <c r="BY32" s="6"/>
      <c r="BZ32" s="6"/>
      <c r="CA32" s="6"/>
      <c r="CB32" s="6"/>
      <c r="CC32" s="6"/>
      <c r="CD32" s="6"/>
      <c r="CE32" s="19"/>
      <c r="CF32" s="19"/>
      <c r="CG32" s="19"/>
      <c r="CH32" s="19"/>
      <c r="CI32" s="19"/>
      <c r="CJ32" s="19"/>
      <c r="CK32" s="19"/>
      <c r="CL32" s="19"/>
      <c r="CM32" s="19"/>
      <c r="CN32" s="19"/>
      <c r="CO32" s="6"/>
      <c r="CP32" s="6"/>
      <c r="CQ32" s="6"/>
      <c r="CR32" s="6"/>
      <c r="CS32" s="6"/>
      <c r="CT32" s="6"/>
      <c r="CU32" s="6"/>
      <c r="CV32" s="6"/>
      <c r="CW32" s="6"/>
      <c r="CX32" s="6"/>
      <c r="CY32" s="21"/>
      <c r="CZ32" s="6"/>
      <c r="DA32" s="21"/>
      <c r="DB32" s="6"/>
      <c r="DC32" s="6"/>
      <c r="DD32" s="6"/>
      <c r="DE32" s="6"/>
      <c r="DF32" s="6"/>
      <c r="DG32" s="6"/>
      <c r="DH32" s="6"/>
      <c r="DI32" s="5"/>
      <c r="DJ32" s="5"/>
      <c r="DK32" s="6"/>
      <c r="DL32" s="19"/>
      <c r="DM32" s="5"/>
      <c r="DN32" s="19"/>
      <c r="DO32" s="6"/>
      <c r="DP32" s="6"/>
      <c r="DQ32" s="6"/>
      <c r="DR32" s="19"/>
      <c r="DS32" s="1" t="str">
        <f t="shared" si="1"/>
        <v/>
      </c>
    </row>
    <row r="33" spans="1:123" ht="13.5" customHeight="1" x14ac:dyDescent="0.25">
      <c r="A33" s="17" t="str">
        <f t="shared" si="0"/>
        <v/>
      </c>
      <c r="B33" s="5"/>
      <c r="C33" s="5"/>
      <c r="D33" s="5"/>
      <c r="E33" s="6"/>
      <c r="F33" s="19"/>
      <c r="G33" s="19"/>
      <c r="H33" s="19"/>
      <c r="I33" s="19"/>
      <c r="J33" s="19"/>
      <c r="K33" s="19"/>
      <c r="L33" s="19"/>
      <c r="M33" s="19"/>
      <c r="N33" s="19"/>
      <c r="O33" s="19"/>
      <c r="P33" s="6"/>
      <c r="Q33" s="6"/>
      <c r="R33" s="19"/>
      <c r="S33" s="6"/>
      <c r="T33" s="6"/>
      <c r="U33" s="6"/>
      <c r="V33" s="6"/>
      <c r="W33" s="6"/>
      <c r="X33" s="6"/>
      <c r="Y33" s="6"/>
      <c r="Z33" s="6"/>
      <c r="AA33" s="6"/>
      <c r="AB33" s="6"/>
      <c r="AC33" s="6"/>
      <c r="AD33" s="6"/>
      <c r="AE33" s="6"/>
      <c r="AF33" s="6"/>
      <c r="AG33" s="6"/>
      <c r="AH33" s="6"/>
      <c r="AI33" s="6"/>
      <c r="AJ33" s="6"/>
      <c r="AK33" s="6"/>
      <c r="AL33" s="6"/>
      <c r="AM33" s="6"/>
      <c r="AN33" s="6"/>
      <c r="AO33" s="6"/>
      <c r="AP33" s="6"/>
      <c r="AQ33" s="19"/>
      <c r="AR33" s="19"/>
      <c r="AS33" s="19"/>
      <c r="AT33" s="21"/>
      <c r="AU33" s="6"/>
      <c r="AV33" s="21"/>
      <c r="AW33" s="6"/>
      <c r="AX33" s="19"/>
      <c r="AY33" s="19"/>
      <c r="AZ33" s="6"/>
      <c r="BA33" s="6"/>
      <c r="BB33" s="6"/>
      <c r="BC33" s="6"/>
      <c r="BD33" s="6"/>
      <c r="BE33" s="6"/>
      <c r="BF33" s="6"/>
      <c r="BG33" s="6"/>
      <c r="BH33" s="19"/>
      <c r="BI33" s="19"/>
      <c r="BJ33" s="6"/>
      <c r="BK33" s="6"/>
      <c r="BL33" s="6"/>
      <c r="BM33" s="6"/>
      <c r="BN33" s="6"/>
      <c r="BO33" s="6"/>
      <c r="BP33" s="6"/>
      <c r="BQ33" s="6"/>
      <c r="BR33" s="6"/>
      <c r="BS33" s="6"/>
      <c r="BT33" s="6"/>
      <c r="BU33" s="19"/>
      <c r="BV33" s="6"/>
      <c r="BW33" s="6"/>
      <c r="BX33" s="6"/>
      <c r="BY33" s="6"/>
      <c r="BZ33" s="6"/>
      <c r="CA33" s="6"/>
      <c r="CB33" s="6"/>
      <c r="CC33" s="6"/>
      <c r="CD33" s="6"/>
      <c r="CE33" s="19"/>
      <c r="CF33" s="19"/>
      <c r="CG33" s="19"/>
      <c r="CH33" s="19"/>
      <c r="CI33" s="19"/>
      <c r="CJ33" s="19"/>
      <c r="CK33" s="19"/>
      <c r="CL33" s="19"/>
      <c r="CM33" s="19"/>
      <c r="CN33" s="19"/>
      <c r="CO33" s="6"/>
      <c r="CP33" s="6"/>
      <c r="CQ33" s="6"/>
      <c r="CR33" s="6"/>
      <c r="CS33" s="6"/>
      <c r="CT33" s="6"/>
      <c r="CU33" s="6"/>
      <c r="CV33" s="6"/>
      <c r="CW33" s="6"/>
      <c r="CX33" s="6"/>
      <c r="CY33" s="21"/>
      <c r="CZ33" s="6"/>
      <c r="DA33" s="21"/>
      <c r="DB33" s="6"/>
      <c r="DC33" s="6"/>
      <c r="DD33" s="6"/>
      <c r="DE33" s="6"/>
      <c r="DF33" s="6"/>
      <c r="DG33" s="6"/>
      <c r="DH33" s="6"/>
      <c r="DI33" s="5"/>
      <c r="DJ33" s="5"/>
      <c r="DK33" s="6"/>
      <c r="DL33" s="19"/>
      <c r="DM33" s="5"/>
      <c r="DN33" s="19"/>
      <c r="DO33" s="6"/>
      <c r="DP33" s="6"/>
      <c r="DQ33" s="6"/>
      <c r="DR33" s="19"/>
      <c r="DS33" s="1" t="str">
        <f t="shared" si="1"/>
        <v/>
      </c>
    </row>
    <row r="34" spans="1:123" ht="13.5" customHeight="1" x14ac:dyDescent="0.25">
      <c r="A34" s="17" t="str">
        <f t="shared" si="0"/>
        <v/>
      </c>
      <c r="B34" s="5"/>
      <c r="C34" s="5"/>
      <c r="D34" s="5"/>
      <c r="E34" s="6"/>
      <c r="F34" s="19"/>
      <c r="G34" s="19"/>
      <c r="H34" s="19"/>
      <c r="I34" s="19"/>
      <c r="J34" s="19"/>
      <c r="K34" s="19"/>
      <c r="L34" s="19"/>
      <c r="M34" s="19"/>
      <c r="N34" s="19"/>
      <c r="O34" s="19"/>
      <c r="P34" s="6"/>
      <c r="Q34" s="6"/>
      <c r="R34" s="19"/>
      <c r="S34" s="6"/>
      <c r="T34" s="6"/>
      <c r="U34" s="6"/>
      <c r="V34" s="6"/>
      <c r="W34" s="6"/>
      <c r="X34" s="6"/>
      <c r="Y34" s="6"/>
      <c r="Z34" s="6"/>
      <c r="AA34" s="6"/>
      <c r="AB34" s="6"/>
      <c r="AC34" s="6"/>
      <c r="AD34" s="6"/>
      <c r="AE34" s="6"/>
      <c r="AF34" s="6"/>
      <c r="AG34" s="6"/>
      <c r="AH34" s="6"/>
      <c r="AI34" s="6"/>
      <c r="AJ34" s="6"/>
      <c r="AK34" s="6"/>
      <c r="AL34" s="6"/>
      <c r="AM34" s="6"/>
      <c r="AN34" s="6"/>
      <c r="AO34" s="6"/>
      <c r="AP34" s="6"/>
      <c r="AQ34" s="19"/>
      <c r="AR34" s="19"/>
      <c r="AS34" s="19"/>
      <c r="AT34" s="21"/>
      <c r="AU34" s="6"/>
      <c r="AV34" s="21"/>
      <c r="AW34" s="6"/>
      <c r="AX34" s="19"/>
      <c r="AY34" s="19"/>
      <c r="AZ34" s="6"/>
      <c r="BA34" s="6"/>
      <c r="BB34" s="6"/>
      <c r="BC34" s="6"/>
      <c r="BD34" s="6"/>
      <c r="BE34" s="6"/>
      <c r="BF34" s="6"/>
      <c r="BG34" s="6"/>
      <c r="BH34" s="19"/>
      <c r="BI34" s="19"/>
      <c r="BJ34" s="6"/>
      <c r="BK34" s="6"/>
      <c r="BL34" s="6"/>
      <c r="BM34" s="6"/>
      <c r="BN34" s="6"/>
      <c r="BO34" s="6"/>
      <c r="BP34" s="6"/>
      <c r="BQ34" s="6"/>
      <c r="BR34" s="6"/>
      <c r="BS34" s="6"/>
      <c r="BT34" s="6"/>
      <c r="BU34" s="19"/>
      <c r="BV34" s="6"/>
      <c r="BW34" s="6"/>
      <c r="BX34" s="6"/>
      <c r="BY34" s="6"/>
      <c r="BZ34" s="6"/>
      <c r="CA34" s="6"/>
      <c r="CB34" s="6"/>
      <c r="CC34" s="6"/>
      <c r="CD34" s="6"/>
      <c r="CE34" s="19"/>
      <c r="CF34" s="19"/>
      <c r="CG34" s="19"/>
      <c r="CH34" s="19"/>
      <c r="CI34" s="19"/>
      <c r="CJ34" s="19"/>
      <c r="CK34" s="19"/>
      <c r="CL34" s="19"/>
      <c r="CM34" s="19"/>
      <c r="CN34" s="19"/>
      <c r="CO34" s="6"/>
      <c r="CP34" s="6"/>
      <c r="CQ34" s="6"/>
      <c r="CR34" s="6"/>
      <c r="CS34" s="6"/>
      <c r="CT34" s="6"/>
      <c r="CU34" s="6"/>
      <c r="CV34" s="6"/>
      <c r="CW34" s="6"/>
      <c r="CX34" s="6"/>
      <c r="CY34" s="21"/>
      <c r="CZ34" s="6"/>
      <c r="DA34" s="21"/>
      <c r="DB34" s="6"/>
      <c r="DC34" s="6"/>
      <c r="DD34" s="6"/>
      <c r="DE34" s="6"/>
      <c r="DF34" s="6"/>
      <c r="DG34" s="6"/>
      <c r="DH34" s="6"/>
      <c r="DI34" s="5"/>
      <c r="DJ34" s="5"/>
      <c r="DK34" s="6"/>
      <c r="DL34" s="19"/>
      <c r="DM34" s="5"/>
      <c r="DN34" s="19"/>
      <c r="DO34" s="6"/>
      <c r="DP34" s="6"/>
      <c r="DQ34" s="6"/>
      <c r="DR34" s="19"/>
      <c r="DS34" s="1" t="str">
        <f t="shared" si="1"/>
        <v/>
      </c>
    </row>
    <row r="35" spans="1:123" ht="13.5" customHeight="1" x14ac:dyDescent="0.25">
      <c r="A35" s="17" t="str">
        <f t="shared" si="0"/>
        <v/>
      </c>
      <c r="B35" s="5"/>
      <c r="C35" s="5"/>
      <c r="D35" s="5"/>
      <c r="E35" s="6"/>
      <c r="F35" s="19"/>
      <c r="G35" s="19"/>
      <c r="H35" s="19"/>
      <c r="I35" s="19"/>
      <c r="J35" s="19"/>
      <c r="K35" s="19"/>
      <c r="L35" s="19"/>
      <c r="M35" s="19"/>
      <c r="N35" s="19"/>
      <c r="O35" s="19"/>
      <c r="P35" s="6"/>
      <c r="Q35" s="6"/>
      <c r="R35" s="19"/>
      <c r="S35" s="6"/>
      <c r="T35" s="6"/>
      <c r="U35" s="6"/>
      <c r="V35" s="6"/>
      <c r="W35" s="6"/>
      <c r="X35" s="6"/>
      <c r="Y35" s="6"/>
      <c r="Z35" s="6"/>
      <c r="AA35" s="6"/>
      <c r="AB35" s="6"/>
      <c r="AC35" s="6"/>
      <c r="AD35" s="6"/>
      <c r="AE35" s="6"/>
      <c r="AF35" s="6"/>
      <c r="AG35" s="6"/>
      <c r="AH35" s="6"/>
      <c r="AI35" s="6"/>
      <c r="AJ35" s="6"/>
      <c r="AK35" s="6"/>
      <c r="AL35" s="6"/>
      <c r="AM35" s="6"/>
      <c r="AN35" s="6"/>
      <c r="AO35" s="6"/>
      <c r="AP35" s="6"/>
      <c r="AQ35" s="19"/>
      <c r="AR35" s="19"/>
      <c r="AS35" s="19"/>
      <c r="AT35" s="21"/>
      <c r="AU35" s="6"/>
      <c r="AV35" s="21"/>
      <c r="AW35" s="6"/>
      <c r="AX35" s="19"/>
      <c r="AY35" s="19"/>
      <c r="AZ35" s="6"/>
      <c r="BA35" s="6"/>
      <c r="BB35" s="6"/>
      <c r="BC35" s="6"/>
      <c r="BD35" s="6"/>
      <c r="BE35" s="6"/>
      <c r="BF35" s="6"/>
      <c r="BG35" s="6"/>
      <c r="BH35" s="19"/>
      <c r="BI35" s="19"/>
      <c r="BJ35" s="6"/>
      <c r="BK35" s="6"/>
      <c r="BL35" s="6"/>
      <c r="BM35" s="6"/>
      <c r="BN35" s="6"/>
      <c r="BO35" s="6"/>
      <c r="BP35" s="6"/>
      <c r="BQ35" s="6"/>
      <c r="BR35" s="6"/>
      <c r="BS35" s="6"/>
      <c r="BT35" s="6"/>
      <c r="BU35" s="19"/>
      <c r="BV35" s="6"/>
      <c r="BW35" s="6"/>
      <c r="BX35" s="6"/>
      <c r="BY35" s="6"/>
      <c r="BZ35" s="6"/>
      <c r="CA35" s="6"/>
      <c r="CB35" s="6"/>
      <c r="CC35" s="6"/>
      <c r="CD35" s="6"/>
      <c r="CE35" s="19"/>
      <c r="CF35" s="19"/>
      <c r="CG35" s="19"/>
      <c r="CH35" s="19"/>
      <c r="CI35" s="19"/>
      <c r="CJ35" s="19"/>
      <c r="CK35" s="19"/>
      <c r="CL35" s="19"/>
      <c r="CM35" s="19"/>
      <c r="CN35" s="19"/>
      <c r="CO35" s="6"/>
      <c r="CP35" s="6"/>
      <c r="CQ35" s="6"/>
      <c r="CR35" s="6"/>
      <c r="CS35" s="6"/>
      <c r="CT35" s="6"/>
      <c r="CU35" s="6"/>
      <c r="CV35" s="6"/>
      <c r="CW35" s="6"/>
      <c r="CX35" s="6"/>
      <c r="CY35" s="21"/>
      <c r="CZ35" s="6"/>
      <c r="DA35" s="21"/>
      <c r="DB35" s="6"/>
      <c r="DC35" s="6"/>
      <c r="DD35" s="6"/>
      <c r="DE35" s="6"/>
      <c r="DF35" s="6"/>
      <c r="DG35" s="6"/>
      <c r="DH35" s="6"/>
      <c r="DI35" s="5"/>
      <c r="DJ35" s="5"/>
      <c r="DK35" s="6"/>
      <c r="DL35" s="19"/>
      <c r="DM35" s="5"/>
      <c r="DN35" s="19"/>
      <c r="DO35" s="6"/>
      <c r="DP35" s="6"/>
      <c r="DQ35" s="6"/>
      <c r="DR35" s="19"/>
      <c r="DS35" s="1" t="str">
        <f t="shared" si="1"/>
        <v/>
      </c>
    </row>
    <row r="36" spans="1:123" ht="13.5" customHeight="1" x14ac:dyDescent="0.25">
      <c r="A36" s="17" t="str">
        <f t="shared" si="0"/>
        <v/>
      </c>
      <c r="B36" s="5"/>
      <c r="C36" s="5"/>
      <c r="D36" s="5"/>
      <c r="E36" s="6"/>
      <c r="F36" s="19"/>
      <c r="G36" s="19"/>
      <c r="H36" s="19"/>
      <c r="I36" s="19"/>
      <c r="J36" s="19"/>
      <c r="K36" s="19"/>
      <c r="L36" s="19"/>
      <c r="M36" s="19"/>
      <c r="N36" s="19"/>
      <c r="O36" s="19"/>
      <c r="P36" s="6"/>
      <c r="Q36" s="6"/>
      <c r="R36" s="19"/>
      <c r="S36" s="6"/>
      <c r="T36" s="6"/>
      <c r="U36" s="6"/>
      <c r="V36" s="6"/>
      <c r="W36" s="6"/>
      <c r="X36" s="6"/>
      <c r="Y36" s="6"/>
      <c r="Z36" s="6"/>
      <c r="AA36" s="6"/>
      <c r="AB36" s="6"/>
      <c r="AC36" s="6"/>
      <c r="AD36" s="6"/>
      <c r="AE36" s="6"/>
      <c r="AF36" s="6"/>
      <c r="AG36" s="6"/>
      <c r="AH36" s="6"/>
      <c r="AI36" s="6"/>
      <c r="AJ36" s="6"/>
      <c r="AK36" s="6"/>
      <c r="AL36" s="6"/>
      <c r="AM36" s="6"/>
      <c r="AN36" s="6"/>
      <c r="AO36" s="6"/>
      <c r="AP36" s="6"/>
      <c r="AQ36" s="19"/>
      <c r="AR36" s="19"/>
      <c r="AS36" s="19"/>
      <c r="AT36" s="21"/>
      <c r="AU36" s="6"/>
      <c r="AV36" s="21"/>
      <c r="AW36" s="6"/>
      <c r="AX36" s="19"/>
      <c r="AY36" s="19"/>
      <c r="AZ36" s="6"/>
      <c r="BA36" s="6"/>
      <c r="BB36" s="6"/>
      <c r="BC36" s="6"/>
      <c r="BD36" s="6"/>
      <c r="BE36" s="6"/>
      <c r="BF36" s="6"/>
      <c r="BG36" s="6"/>
      <c r="BH36" s="19"/>
      <c r="BI36" s="19"/>
      <c r="BJ36" s="6"/>
      <c r="BK36" s="6"/>
      <c r="BL36" s="6"/>
      <c r="BM36" s="6"/>
      <c r="BN36" s="6"/>
      <c r="BO36" s="6"/>
      <c r="BP36" s="6"/>
      <c r="BQ36" s="6"/>
      <c r="BR36" s="6"/>
      <c r="BS36" s="6"/>
      <c r="BT36" s="6"/>
      <c r="BU36" s="19"/>
      <c r="BV36" s="6"/>
      <c r="BW36" s="6"/>
      <c r="BX36" s="6"/>
      <c r="BY36" s="6"/>
      <c r="BZ36" s="6"/>
      <c r="CA36" s="6"/>
      <c r="CB36" s="6"/>
      <c r="CC36" s="6"/>
      <c r="CD36" s="6"/>
      <c r="CE36" s="19"/>
      <c r="CF36" s="19"/>
      <c r="CG36" s="19"/>
      <c r="CH36" s="19"/>
      <c r="CI36" s="19"/>
      <c r="CJ36" s="19"/>
      <c r="CK36" s="19"/>
      <c r="CL36" s="19"/>
      <c r="CM36" s="19"/>
      <c r="CN36" s="19"/>
      <c r="CO36" s="6"/>
      <c r="CP36" s="6"/>
      <c r="CQ36" s="6"/>
      <c r="CR36" s="6"/>
      <c r="CS36" s="6"/>
      <c r="CT36" s="6"/>
      <c r="CU36" s="6"/>
      <c r="CV36" s="6"/>
      <c r="CW36" s="6"/>
      <c r="CX36" s="6"/>
      <c r="CY36" s="21"/>
      <c r="CZ36" s="6"/>
      <c r="DA36" s="21"/>
      <c r="DB36" s="6"/>
      <c r="DC36" s="6"/>
      <c r="DD36" s="6"/>
      <c r="DE36" s="6"/>
      <c r="DF36" s="6"/>
      <c r="DG36" s="6"/>
      <c r="DH36" s="6"/>
      <c r="DI36" s="5"/>
      <c r="DJ36" s="5"/>
      <c r="DK36" s="6"/>
      <c r="DL36" s="19"/>
      <c r="DM36" s="5"/>
      <c r="DN36" s="19"/>
      <c r="DO36" s="6"/>
      <c r="DP36" s="6"/>
      <c r="DQ36" s="6"/>
      <c r="DR36" s="19"/>
      <c r="DS36" s="1" t="str">
        <f t="shared" si="1"/>
        <v/>
      </c>
    </row>
    <row r="37" spans="1:123" ht="13.5" customHeight="1" x14ac:dyDescent="0.25">
      <c r="A37" s="17" t="str">
        <f t="shared" si="0"/>
        <v/>
      </c>
      <c r="B37" s="5"/>
      <c r="C37" s="5"/>
      <c r="D37" s="5"/>
      <c r="E37" s="6"/>
      <c r="F37" s="19"/>
      <c r="G37" s="19"/>
      <c r="H37" s="19"/>
      <c r="I37" s="19"/>
      <c r="J37" s="19"/>
      <c r="K37" s="19"/>
      <c r="L37" s="19"/>
      <c r="M37" s="19"/>
      <c r="N37" s="19"/>
      <c r="O37" s="19"/>
      <c r="P37" s="6"/>
      <c r="Q37" s="6"/>
      <c r="R37" s="19"/>
      <c r="S37" s="6"/>
      <c r="T37" s="6"/>
      <c r="U37" s="6"/>
      <c r="V37" s="6"/>
      <c r="W37" s="6"/>
      <c r="X37" s="6"/>
      <c r="Y37" s="6"/>
      <c r="Z37" s="6"/>
      <c r="AA37" s="6"/>
      <c r="AB37" s="6"/>
      <c r="AC37" s="6"/>
      <c r="AD37" s="6"/>
      <c r="AE37" s="6"/>
      <c r="AF37" s="6"/>
      <c r="AG37" s="6"/>
      <c r="AH37" s="6"/>
      <c r="AI37" s="6"/>
      <c r="AJ37" s="6"/>
      <c r="AK37" s="6"/>
      <c r="AL37" s="6"/>
      <c r="AM37" s="6"/>
      <c r="AN37" s="6"/>
      <c r="AO37" s="6"/>
      <c r="AP37" s="6"/>
      <c r="AQ37" s="19"/>
      <c r="AR37" s="19"/>
      <c r="AS37" s="19"/>
      <c r="AT37" s="21"/>
      <c r="AU37" s="6"/>
      <c r="AV37" s="21"/>
      <c r="AW37" s="6"/>
      <c r="AX37" s="19"/>
      <c r="AY37" s="19"/>
      <c r="AZ37" s="6"/>
      <c r="BA37" s="6"/>
      <c r="BB37" s="6"/>
      <c r="BC37" s="6"/>
      <c r="BD37" s="6"/>
      <c r="BE37" s="6"/>
      <c r="BF37" s="6"/>
      <c r="BG37" s="6"/>
      <c r="BH37" s="19"/>
      <c r="BI37" s="19"/>
      <c r="BJ37" s="6"/>
      <c r="BK37" s="6"/>
      <c r="BL37" s="6"/>
      <c r="BM37" s="6"/>
      <c r="BN37" s="6"/>
      <c r="BO37" s="6"/>
      <c r="BP37" s="6"/>
      <c r="BQ37" s="6"/>
      <c r="BR37" s="6"/>
      <c r="BS37" s="6"/>
      <c r="BT37" s="6"/>
      <c r="BU37" s="19"/>
      <c r="BV37" s="6"/>
      <c r="BW37" s="6"/>
      <c r="BX37" s="6"/>
      <c r="BY37" s="6"/>
      <c r="BZ37" s="6"/>
      <c r="CA37" s="6"/>
      <c r="CB37" s="6"/>
      <c r="CC37" s="6"/>
      <c r="CD37" s="6"/>
      <c r="CE37" s="19"/>
      <c r="CF37" s="19"/>
      <c r="CG37" s="19"/>
      <c r="CH37" s="19"/>
      <c r="CI37" s="19"/>
      <c r="CJ37" s="19"/>
      <c r="CK37" s="19"/>
      <c r="CL37" s="19"/>
      <c r="CM37" s="19"/>
      <c r="CN37" s="19"/>
      <c r="CO37" s="6"/>
      <c r="CP37" s="6"/>
      <c r="CQ37" s="6"/>
      <c r="CR37" s="6"/>
      <c r="CS37" s="6"/>
      <c r="CT37" s="6"/>
      <c r="CU37" s="6"/>
      <c r="CV37" s="6"/>
      <c r="CW37" s="6"/>
      <c r="CX37" s="6"/>
      <c r="CY37" s="21"/>
      <c r="CZ37" s="6"/>
      <c r="DA37" s="21"/>
      <c r="DB37" s="6"/>
      <c r="DC37" s="6"/>
      <c r="DD37" s="6"/>
      <c r="DE37" s="6"/>
      <c r="DF37" s="6"/>
      <c r="DG37" s="6"/>
      <c r="DH37" s="6"/>
      <c r="DI37" s="5"/>
      <c r="DJ37" s="5"/>
      <c r="DK37" s="6"/>
      <c r="DL37" s="19"/>
      <c r="DM37" s="5"/>
      <c r="DN37" s="19"/>
      <c r="DO37" s="6"/>
      <c r="DP37" s="6"/>
      <c r="DQ37" s="6"/>
      <c r="DR37" s="19"/>
      <c r="DS37" s="1" t="str">
        <f t="shared" si="1"/>
        <v/>
      </c>
    </row>
    <row r="38" spans="1:123" ht="13.5" customHeight="1" x14ac:dyDescent="0.25">
      <c r="A38" s="17" t="str">
        <f t="shared" si="0"/>
        <v/>
      </c>
      <c r="B38" s="5"/>
      <c r="C38" s="5"/>
      <c r="D38" s="5"/>
      <c r="E38" s="6"/>
      <c r="F38" s="19"/>
      <c r="G38" s="19"/>
      <c r="H38" s="19"/>
      <c r="I38" s="19"/>
      <c r="J38" s="19"/>
      <c r="K38" s="19"/>
      <c r="L38" s="19"/>
      <c r="M38" s="19"/>
      <c r="N38" s="19"/>
      <c r="O38" s="19"/>
      <c r="P38" s="6"/>
      <c r="Q38" s="6"/>
      <c r="R38" s="19"/>
      <c r="S38" s="6"/>
      <c r="T38" s="6"/>
      <c r="U38" s="6"/>
      <c r="V38" s="6"/>
      <c r="W38" s="6"/>
      <c r="X38" s="6"/>
      <c r="Y38" s="6"/>
      <c r="Z38" s="6"/>
      <c r="AA38" s="6"/>
      <c r="AB38" s="6"/>
      <c r="AC38" s="6"/>
      <c r="AD38" s="6"/>
      <c r="AE38" s="6"/>
      <c r="AF38" s="6"/>
      <c r="AG38" s="6"/>
      <c r="AH38" s="6"/>
      <c r="AI38" s="6"/>
      <c r="AJ38" s="6"/>
      <c r="AK38" s="6"/>
      <c r="AL38" s="6"/>
      <c r="AM38" s="6"/>
      <c r="AN38" s="6"/>
      <c r="AO38" s="6"/>
      <c r="AP38" s="6"/>
      <c r="AQ38" s="19"/>
      <c r="AR38" s="19"/>
      <c r="AS38" s="19"/>
      <c r="AT38" s="21"/>
      <c r="AU38" s="6"/>
      <c r="AV38" s="21"/>
      <c r="AW38" s="6"/>
      <c r="AX38" s="19"/>
      <c r="AY38" s="19"/>
      <c r="AZ38" s="6"/>
      <c r="BA38" s="6"/>
      <c r="BB38" s="6"/>
      <c r="BC38" s="6"/>
      <c r="BD38" s="6"/>
      <c r="BE38" s="6"/>
      <c r="BF38" s="6"/>
      <c r="BG38" s="6"/>
      <c r="BH38" s="19"/>
      <c r="BI38" s="19"/>
      <c r="BJ38" s="6"/>
      <c r="BK38" s="6"/>
      <c r="BL38" s="6"/>
      <c r="BM38" s="6"/>
      <c r="BN38" s="6"/>
      <c r="BO38" s="6"/>
      <c r="BP38" s="6"/>
      <c r="BQ38" s="6"/>
      <c r="BR38" s="6"/>
      <c r="BS38" s="6"/>
      <c r="BT38" s="6"/>
      <c r="BU38" s="19"/>
      <c r="BV38" s="6"/>
      <c r="BW38" s="6"/>
      <c r="BX38" s="6"/>
      <c r="BY38" s="6"/>
      <c r="BZ38" s="6"/>
      <c r="CA38" s="6"/>
      <c r="CB38" s="6"/>
      <c r="CC38" s="6"/>
      <c r="CD38" s="6"/>
      <c r="CE38" s="19"/>
      <c r="CF38" s="19"/>
      <c r="CG38" s="19"/>
      <c r="CH38" s="19"/>
      <c r="CI38" s="19"/>
      <c r="CJ38" s="19"/>
      <c r="CK38" s="19"/>
      <c r="CL38" s="19"/>
      <c r="CM38" s="19"/>
      <c r="CN38" s="19"/>
      <c r="CO38" s="6"/>
      <c r="CP38" s="6"/>
      <c r="CQ38" s="6"/>
      <c r="CR38" s="6"/>
      <c r="CS38" s="6"/>
      <c r="CT38" s="6"/>
      <c r="CU38" s="6"/>
      <c r="CV38" s="6"/>
      <c r="CW38" s="6"/>
      <c r="CX38" s="6"/>
      <c r="CY38" s="21"/>
      <c r="CZ38" s="6"/>
      <c r="DA38" s="21"/>
      <c r="DB38" s="6"/>
      <c r="DC38" s="6"/>
      <c r="DD38" s="6"/>
      <c r="DE38" s="6"/>
      <c r="DF38" s="6"/>
      <c r="DG38" s="6"/>
      <c r="DH38" s="6"/>
      <c r="DI38" s="5"/>
      <c r="DJ38" s="5"/>
      <c r="DK38" s="6"/>
      <c r="DL38" s="19"/>
      <c r="DM38" s="5"/>
      <c r="DN38" s="19"/>
      <c r="DO38" s="6"/>
      <c r="DP38" s="6"/>
      <c r="DQ38" s="6"/>
      <c r="DR38" s="19"/>
      <c r="DS38" s="1" t="str">
        <f t="shared" si="1"/>
        <v/>
      </c>
    </row>
    <row r="39" spans="1:123" ht="13.5" customHeight="1" x14ac:dyDescent="0.25">
      <c r="A39" s="17" t="str">
        <f t="shared" si="0"/>
        <v/>
      </c>
      <c r="B39" s="5"/>
      <c r="C39" s="5"/>
      <c r="D39" s="5"/>
      <c r="E39" s="6"/>
      <c r="F39" s="19"/>
      <c r="G39" s="19"/>
      <c r="H39" s="19"/>
      <c r="I39" s="19"/>
      <c r="J39" s="19"/>
      <c r="K39" s="19"/>
      <c r="L39" s="19"/>
      <c r="M39" s="19"/>
      <c r="N39" s="19"/>
      <c r="O39" s="19"/>
      <c r="P39" s="6"/>
      <c r="Q39" s="6"/>
      <c r="R39" s="19"/>
      <c r="S39" s="6"/>
      <c r="T39" s="6"/>
      <c r="U39" s="6"/>
      <c r="V39" s="6"/>
      <c r="W39" s="6"/>
      <c r="X39" s="6"/>
      <c r="Y39" s="6"/>
      <c r="Z39" s="6"/>
      <c r="AA39" s="6"/>
      <c r="AB39" s="6"/>
      <c r="AC39" s="6"/>
      <c r="AD39" s="6"/>
      <c r="AE39" s="6"/>
      <c r="AF39" s="6"/>
      <c r="AG39" s="6"/>
      <c r="AH39" s="6"/>
      <c r="AI39" s="6"/>
      <c r="AJ39" s="6"/>
      <c r="AK39" s="6"/>
      <c r="AL39" s="6"/>
      <c r="AM39" s="6"/>
      <c r="AN39" s="6"/>
      <c r="AO39" s="6"/>
      <c r="AP39" s="6"/>
      <c r="AQ39" s="19"/>
      <c r="AR39" s="19"/>
      <c r="AS39" s="19"/>
      <c r="AT39" s="21"/>
      <c r="AU39" s="6"/>
      <c r="AV39" s="21"/>
      <c r="AW39" s="6"/>
      <c r="AX39" s="19"/>
      <c r="AY39" s="19"/>
      <c r="AZ39" s="6"/>
      <c r="BA39" s="6"/>
      <c r="BB39" s="6"/>
      <c r="BC39" s="6"/>
      <c r="BD39" s="6"/>
      <c r="BE39" s="6"/>
      <c r="BF39" s="6"/>
      <c r="BG39" s="6"/>
      <c r="BH39" s="19"/>
      <c r="BI39" s="19"/>
      <c r="BJ39" s="6"/>
      <c r="BK39" s="6"/>
      <c r="BL39" s="6"/>
      <c r="BM39" s="6"/>
      <c r="BN39" s="6"/>
      <c r="BO39" s="6"/>
      <c r="BP39" s="6"/>
      <c r="BQ39" s="6"/>
      <c r="BR39" s="6"/>
      <c r="BS39" s="6"/>
      <c r="BT39" s="6"/>
      <c r="BU39" s="19"/>
      <c r="BV39" s="6"/>
      <c r="BW39" s="6"/>
      <c r="BX39" s="6"/>
      <c r="BY39" s="6"/>
      <c r="BZ39" s="6"/>
      <c r="CA39" s="6"/>
      <c r="CB39" s="6"/>
      <c r="CC39" s="6"/>
      <c r="CD39" s="6"/>
      <c r="CE39" s="19"/>
      <c r="CF39" s="19"/>
      <c r="CG39" s="19"/>
      <c r="CH39" s="19"/>
      <c r="CI39" s="19"/>
      <c r="CJ39" s="19"/>
      <c r="CK39" s="19"/>
      <c r="CL39" s="19"/>
      <c r="CM39" s="19"/>
      <c r="CN39" s="19"/>
      <c r="CO39" s="6"/>
      <c r="CP39" s="6"/>
      <c r="CQ39" s="6"/>
      <c r="CR39" s="6"/>
      <c r="CS39" s="6"/>
      <c r="CT39" s="6"/>
      <c r="CU39" s="6"/>
      <c r="CV39" s="6"/>
      <c r="CW39" s="6"/>
      <c r="CX39" s="6"/>
      <c r="CY39" s="21"/>
      <c r="CZ39" s="6"/>
      <c r="DA39" s="21"/>
      <c r="DB39" s="6"/>
      <c r="DC39" s="6"/>
      <c r="DD39" s="6"/>
      <c r="DE39" s="6"/>
      <c r="DF39" s="6"/>
      <c r="DG39" s="6"/>
      <c r="DH39" s="6"/>
      <c r="DI39" s="5"/>
      <c r="DJ39" s="5"/>
      <c r="DK39" s="6"/>
      <c r="DL39" s="19"/>
      <c r="DM39" s="5"/>
      <c r="DN39" s="19"/>
      <c r="DO39" s="6"/>
      <c r="DP39" s="6"/>
      <c r="DQ39" s="6"/>
      <c r="DR39" s="19"/>
      <c r="DS39" s="1" t="str">
        <f t="shared" si="1"/>
        <v/>
      </c>
    </row>
    <row r="40" spans="1:123" ht="13.5" customHeight="1" x14ac:dyDescent="0.25">
      <c r="A40" s="17" t="str">
        <f t="shared" si="0"/>
        <v/>
      </c>
      <c r="B40" s="5"/>
      <c r="C40" s="5"/>
      <c r="D40" s="5"/>
      <c r="E40" s="6"/>
      <c r="F40" s="19"/>
      <c r="G40" s="19"/>
      <c r="H40" s="19"/>
      <c r="I40" s="19"/>
      <c r="J40" s="19"/>
      <c r="K40" s="19"/>
      <c r="L40" s="19"/>
      <c r="M40" s="19"/>
      <c r="N40" s="19"/>
      <c r="O40" s="19"/>
      <c r="P40" s="6"/>
      <c r="Q40" s="6"/>
      <c r="R40" s="19"/>
      <c r="S40" s="6"/>
      <c r="T40" s="6"/>
      <c r="U40" s="6"/>
      <c r="V40" s="6"/>
      <c r="W40" s="6"/>
      <c r="X40" s="6"/>
      <c r="Y40" s="6"/>
      <c r="Z40" s="6"/>
      <c r="AA40" s="6"/>
      <c r="AB40" s="6"/>
      <c r="AC40" s="6"/>
      <c r="AD40" s="6"/>
      <c r="AE40" s="6"/>
      <c r="AF40" s="6"/>
      <c r="AG40" s="6"/>
      <c r="AH40" s="6"/>
      <c r="AI40" s="6"/>
      <c r="AJ40" s="6"/>
      <c r="AK40" s="6"/>
      <c r="AL40" s="6"/>
      <c r="AM40" s="6"/>
      <c r="AN40" s="6"/>
      <c r="AO40" s="6"/>
      <c r="AP40" s="6"/>
      <c r="AQ40" s="19"/>
      <c r="AR40" s="19"/>
      <c r="AS40" s="19"/>
      <c r="AT40" s="21"/>
      <c r="AU40" s="6"/>
      <c r="AV40" s="21"/>
      <c r="AW40" s="6"/>
      <c r="AX40" s="19"/>
      <c r="AY40" s="19"/>
      <c r="AZ40" s="6"/>
      <c r="BA40" s="6"/>
      <c r="BB40" s="6"/>
      <c r="BC40" s="6"/>
      <c r="BD40" s="6"/>
      <c r="BE40" s="6"/>
      <c r="BF40" s="6"/>
      <c r="BG40" s="6"/>
      <c r="BH40" s="19"/>
      <c r="BI40" s="19"/>
      <c r="BJ40" s="6"/>
      <c r="BK40" s="6"/>
      <c r="BL40" s="6"/>
      <c r="BM40" s="6"/>
      <c r="BN40" s="6"/>
      <c r="BO40" s="6"/>
      <c r="BP40" s="6"/>
      <c r="BQ40" s="6"/>
      <c r="BR40" s="6"/>
      <c r="BS40" s="6"/>
      <c r="BT40" s="6"/>
      <c r="BU40" s="19"/>
      <c r="BV40" s="6"/>
      <c r="BW40" s="6"/>
      <c r="BX40" s="6"/>
      <c r="BY40" s="6"/>
      <c r="BZ40" s="6"/>
      <c r="CA40" s="6"/>
      <c r="CB40" s="6"/>
      <c r="CC40" s="6"/>
      <c r="CD40" s="6"/>
      <c r="CE40" s="19"/>
      <c r="CF40" s="19"/>
      <c r="CG40" s="19"/>
      <c r="CH40" s="19"/>
      <c r="CI40" s="19"/>
      <c r="CJ40" s="19"/>
      <c r="CK40" s="19"/>
      <c r="CL40" s="19"/>
      <c r="CM40" s="19"/>
      <c r="CN40" s="19"/>
      <c r="CO40" s="6"/>
      <c r="CP40" s="6"/>
      <c r="CQ40" s="6"/>
      <c r="CR40" s="6"/>
      <c r="CS40" s="6"/>
      <c r="CT40" s="6"/>
      <c r="CU40" s="6"/>
      <c r="CV40" s="6"/>
      <c r="CW40" s="6"/>
      <c r="CX40" s="6"/>
      <c r="CY40" s="21"/>
      <c r="CZ40" s="6"/>
      <c r="DA40" s="21"/>
      <c r="DB40" s="6"/>
      <c r="DC40" s="6"/>
      <c r="DD40" s="6"/>
      <c r="DE40" s="6"/>
      <c r="DF40" s="6"/>
      <c r="DG40" s="6"/>
      <c r="DH40" s="6"/>
      <c r="DI40" s="5"/>
      <c r="DJ40" s="5"/>
      <c r="DK40" s="6"/>
      <c r="DL40" s="19"/>
      <c r="DM40" s="5"/>
      <c r="DN40" s="19"/>
      <c r="DO40" s="6"/>
      <c r="DP40" s="6"/>
      <c r="DQ40" s="6"/>
      <c r="DR40" s="19"/>
      <c r="DS40" s="1" t="str">
        <f t="shared" si="1"/>
        <v/>
      </c>
    </row>
    <row r="41" spans="1:123" ht="13.5" customHeight="1" x14ac:dyDescent="0.25">
      <c r="A41" s="17" t="str">
        <f t="shared" si="0"/>
        <v/>
      </c>
      <c r="B41" s="5"/>
      <c r="C41" s="5"/>
      <c r="D41" s="5"/>
      <c r="E41" s="6"/>
      <c r="F41" s="19"/>
      <c r="G41" s="19"/>
      <c r="H41" s="19"/>
      <c r="I41" s="19"/>
      <c r="J41" s="19"/>
      <c r="K41" s="19"/>
      <c r="L41" s="19"/>
      <c r="M41" s="19"/>
      <c r="N41" s="19"/>
      <c r="O41" s="19"/>
      <c r="P41" s="6"/>
      <c r="Q41" s="6"/>
      <c r="R41" s="19"/>
      <c r="S41" s="6"/>
      <c r="T41" s="6"/>
      <c r="U41" s="6"/>
      <c r="V41" s="6"/>
      <c r="W41" s="6"/>
      <c r="X41" s="6"/>
      <c r="Y41" s="6"/>
      <c r="Z41" s="6"/>
      <c r="AA41" s="6"/>
      <c r="AB41" s="6"/>
      <c r="AC41" s="6"/>
      <c r="AD41" s="6"/>
      <c r="AE41" s="6"/>
      <c r="AF41" s="6"/>
      <c r="AG41" s="6"/>
      <c r="AH41" s="6"/>
      <c r="AI41" s="6"/>
      <c r="AJ41" s="6"/>
      <c r="AK41" s="6"/>
      <c r="AL41" s="6"/>
      <c r="AM41" s="6"/>
      <c r="AN41" s="6"/>
      <c r="AO41" s="6"/>
      <c r="AP41" s="6"/>
      <c r="AQ41" s="19"/>
      <c r="AR41" s="19"/>
      <c r="AS41" s="19"/>
      <c r="AT41" s="21"/>
      <c r="AU41" s="6"/>
      <c r="AV41" s="21"/>
      <c r="AW41" s="6"/>
      <c r="AX41" s="19"/>
      <c r="AY41" s="19"/>
      <c r="AZ41" s="6"/>
      <c r="BA41" s="6"/>
      <c r="BB41" s="6"/>
      <c r="BC41" s="6"/>
      <c r="BD41" s="6"/>
      <c r="BE41" s="6"/>
      <c r="BF41" s="6"/>
      <c r="BG41" s="6"/>
      <c r="BH41" s="19"/>
      <c r="BI41" s="19"/>
      <c r="BJ41" s="6"/>
      <c r="BK41" s="6"/>
      <c r="BL41" s="6"/>
      <c r="BM41" s="6"/>
      <c r="BN41" s="6"/>
      <c r="BO41" s="6"/>
      <c r="BP41" s="6"/>
      <c r="BQ41" s="6"/>
      <c r="BR41" s="6"/>
      <c r="BS41" s="6"/>
      <c r="BT41" s="6"/>
      <c r="BU41" s="19"/>
      <c r="BV41" s="6"/>
      <c r="BW41" s="6"/>
      <c r="BX41" s="6"/>
      <c r="BY41" s="6"/>
      <c r="BZ41" s="6"/>
      <c r="CA41" s="6"/>
      <c r="CB41" s="6"/>
      <c r="CC41" s="6"/>
      <c r="CD41" s="6"/>
      <c r="CE41" s="19"/>
      <c r="CF41" s="19"/>
      <c r="CG41" s="19"/>
      <c r="CH41" s="19"/>
      <c r="CI41" s="19"/>
      <c r="CJ41" s="19"/>
      <c r="CK41" s="19"/>
      <c r="CL41" s="19"/>
      <c r="CM41" s="19"/>
      <c r="CN41" s="19"/>
      <c r="CO41" s="6"/>
      <c r="CP41" s="6"/>
      <c r="CQ41" s="6"/>
      <c r="CR41" s="6"/>
      <c r="CS41" s="6"/>
      <c r="CT41" s="6"/>
      <c r="CU41" s="6"/>
      <c r="CV41" s="6"/>
      <c r="CW41" s="6"/>
      <c r="CX41" s="6"/>
      <c r="CY41" s="21"/>
      <c r="CZ41" s="6"/>
      <c r="DA41" s="21"/>
      <c r="DB41" s="6"/>
      <c r="DC41" s="6"/>
      <c r="DD41" s="6"/>
      <c r="DE41" s="6"/>
      <c r="DF41" s="6"/>
      <c r="DG41" s="6"/>
      <c r="DH41" s="6"/>
      <c r="DI41" s="5"/>
      <c r="DJ41" s="5"/>
      <c r="DK41" s="6"/>
      <c r="DL41" s="19"/>
      <c r="DM41" s="5"/>
      <c r="DN41" s="19"/>
      <c r="DO41" s="6"/>
      <c r="DP41" s="6"/>
      <c r="DQ41" s="6"/>
      <c r="DR41" s="19"/>
      <c r="DS41" s="1" t="str">
        <f t="shared" si="1"/>
        <v/>
      </c>
    </row>
    <row r="42" spans="1:123" ht="13.5" customHeight="1" x14ac:dyDescent="0.25">
      <c r="A42" s="17" t="str">
        <f t="shared" si="0"/>
        <v/>
      </c>
      <c r="B42" s="5"/>
      <c r="C42" s="5"/>
      <c r="D42" s="5"/>
      <c r="E42" s="6"/>
      <c r="F42" s="19"/>
      <c r="G42" s="19"/>
      <c r="H42" s="19"/>
      <c r="I42" s="19"/>
      <c r="J42" s="19"/>
      <c r="K42" s="19"/>
      <c r="L42" s="19"/>
      <c r="M42" s="19"/>
      <c r="N42" s="19"/>
      <c r="O42" s="19"/>
      <c r="P42" s="6"/>
      <c r="Q42" s="6"/>
      <c r="R42" s="19"/>
      <c r="S42" s="6"/>
      <c r="T42" s="6"/>
      <c r="U42" s="6"/>
      <c r="V42" s="6"/>
      <c r="W42" s="6"/>
      <c r="X42" s="6"/>
      <c r="Y42" s="6"/>
      <c r="Z42" s="6"/>
      <c r="AA42" s="6"/>
      <c r="AB42" s="6"/>
      <c r="AC42" s="6"/>
      <c r="AD42" s="6"/>
      <c r="AE42" s="6"/>
      <c r="AF42" s="6"/>
      <c r="AG42" s="6"/>
      <c r="AH42" s="6"/>
      <c r="AI42" s="6"/>
      <c r="AJ42" s="6"/>
      <c r="AK42" s="6"/>
      <c r="AL42" s="6"/>
      <c r="AM42" s="6"/>
      <c r="AN42" s="6"/>
      <c r="AO42" s="6"/>
      <c r="AP42" s="6"/>
      <c r="AQ42" s="19"/>
      <c r="AR42" s="19"/>
      <c r="AS42" s="19"/>
      <c r="AT42" s="21"/>
      <c r="AU42" s="6"/>
      <c r="AV42" s="21"/>
      <c r="AW42" s="6"/>
      <c r="AX42" s="19"/>
      <c r="AY42" s="19"/>
      <c r="AZ42" s="6"/>
      <c r="BA42" s="6"/>
      <c r="BB42" s="6"/>
      <c r="BC42" s="6"/>
      <c r="BD42" s="6"/>
      <c r="BE42" s="6"/>
      <c r="BF42" s="6"/>
      <c r="BG42" s="6"/>
      <c r="BH42" s="19"/>
      <c r="BI42" s="19"/>
      <c r="BJ42" s="6"/>
      <c r="BK42" s="6"/>
      <c r="BL42" s="6"/>
      <c r="BM42" s="6"/>
      <c r="BN42" s="6"/>
      <c r="BO42" s="6"/>
      <c r="BP42" s="6"/>
      <c r="BQ42" s="6"/>
      <c r="BR42" s="6"/>
      <c r="BS42" s="6"/>
      <c r="BT42" s="6"/>
      <c r="BU42" s="19"/>
      <c r="BV42" s="6"/>
      <c r="BW42" s="6"/>
      <c r="BX42" s="6"/>
      <c r="BY42" s="6"/>
      <c r="BZ42" s="6"/>
      <c r="CA42" s="6"/>
      <c r="CB42" s="6"/>
      <c r="CC42" s="6"/>
      <c r="CD42" s="6"/>
      <c r="CE42" s="19"/>
      <c r="CF42" s="19"/>
      <c r="CG42" s="19"/>
      <c r="CH42" s="19"/>
      <c r="CI42" s="19"/>
      <c r="CJ42" s="19"/>
      <c r="CK42" s="19"/>
      <c r="CL42" s="19"/>
      <c r="CM42" s="19"/>
      <c r="CN42" s="19"/>
      <c r="CO42" s="6"/>
      <c r="CP42" s="6"/>
      <c r="CQ42" s="6"/>
      <c r="CR42" s="6"/>
      <c r="CS42" s="6"/>
      <c r="CT42" s="6"/>
      <c r="CU42" s="6"/>
      <c r="CV42" s="6"/>
      <c r="CW42" s="6"/>
      <c r="CX42" s="6"/>
      <c r="CY42" s="21"/>
      <c r="CZ42" s="6"/>
      <c r="DA42" s="21"/>
      <c r="DB42" s="6"/>
      <c r="DC42" s="6"/>
      <c r="DD42" s="6"/>
      <c r="DE42" s="6"/>
      <c r="DF42" s="6"/>
      <c r="DG42" s="6"/>
      <c r="DH42" s="6"/>
      <c r="DI42" s="5"/>
      <c r="DJ42" s="5"/>
      <c r="DK42" s="6"/>
      <c r="DL42" s="19"/>
      <c r="DM42" s="5"/>
      <c r="DN42" s="19"/>
      <c r="DO42" s="6"/>
      <c r="DP42" s="6"/>
      <c r="DQ42" s="6"/>
      <c r="DR42" s="19"/>
      <c r="DS42" s="1" t="str">
        <f t="shared" si="1"/>
        <v/>
      </c>
    </row>
    <row r="43" spans="1:123" ht="13.5" customHeight="1" x14ac:dyDescent="0.25">
      <c r="A43" s="17" t="str">
        <f t="shared" si="0"/>
        <v/>
      </c>
      <c r="B43" s="5"/>
      <c r="C43" s="5"/>
      <c r="D43" s="5"/>
      <c r="E43" s="6"/>
      <c r="F43" s="19"/>
      <c r="G43" s="19"/>
      <c r="H43" s="19"/>
      <c r="I43" s="19"/>
      <c r="J43" s="19"/>
      <c r="K43" s="19"/>
      <c r="L43" s="19"/>
      <c r="M43" s="19"/>
      <c r="N43" s="19"/>
      <c r="O43" s="19"/>
      <c r="P43" s="6"/>
      <c r="Q43" s="6"/>
      <c r="R43" s="19"/>
      <c r="S43" s="6"/>
      <c r="T43" s="6"/>
      <c r="U43" s="6"/>
      <c r="V43" s="6"/>
      <c r="W43" s="6"/>
      <c r="X43" s="6"/>
      <c r="Y43" s="6"/>
      <c r="Z43" s="6"/>
      <c r="AA43" s="6"/>
      <c r="AB43" s="6"/>
      <c r="AC43" s="6"/>
      <c r="AD43" s="6"/>
      <c r="AE43" s="6"/>
      <c r="AF43" s="6"/>
      <c r="AG43" s="6"/>
      <c r="AH43" s="6"/>
      <c r="AI43" s="6"/>
      <c r="AJ43" s="6"/>
      <c r="AK43" s="6"/>
      <c r="AL43" s="6"/>
      <c r="AM43" s="6"/>
      <c r="AN43" s="6"/>
      <c r="AO43" s="6"/>
      <c r="AP43" s="6"/>
      <c r="AQ43" s="19"/>
      <c r="AR43" s="19"/>
      <c r="AS43" s="19"/>
      <c r="AT43" s="21"/>
      <c r="AU43" s="6"/>
      <c r="AV43" s="21"/>
      <c r="AW43" s="6"/>
      <c r="AX43" s="19"/>
      <c r="AY43" s="19"/>
      <c r="AZ43" s="6"/>
      <c r="BA43" s="6"/>
      <c r="BB43" s="6"/>
      <c r="BC43" s="6"/>
      <c r="BD43" s="6"/>
      <c r="BE43" s="6"/>
      <c r="BF43" s="6"/>
      <c r="BG43" s="6"/>
      <c r="BH43" s="19"/>
      <c r="BI43" s="19"/>
      <c r="BJ43" s="6"/>
      <c r="BK43" s="6"/>
      <c r="BL43" s="6"/>
      <c r="BM43" s="6"/>
      <c r="BN43" s="6"/>
      <c r="BO43" s="6"/>
      <c r="BP43" s="6"/>
      <c r="BQ43" s="6"/>
      <c r="BR43" s="6"/>
      <c r="BS43" s="6"/>
      <c r="BT43" s="6"/>
      <c r="BU43" s="19"/>
      <c r="BV43" s="6"/>
      <c r="BW43" s="6"/>
      <c r="BX43" s="6"/>
      <c r="BY43" s="6"/>
      <c r="BZ43" s="6"/>
      <c r="CA43" s="6"/>
      <c r="CB43" s="6"/>
      <c r="CC43" s="6"/>
      <c r="CD43" s="6"/>
      <c r="CE43" s="19"/>
      <c r="CF43" s="19"/>
      <c r="CG43" s="19"/>
      <c r="CH43" s="19"/>
      <c r="CI43" s="19"/>
      <c r="CJ43" s="19"/>
      <c r="CK43" s="19"/>
      <c r="CL43" s="19"/>
      <c r="CM43" s="19"/>
      <c r="CN43" s="19"/>
      <c r="CO43" s="6"/>
      <c r="CP43" s="6"/>
      <c r="CQ43" s="6"/>
      <c r="CR43" s="6"/>
      <c r="CS43" s="6"/>
      <c r="CT43" s="6"/>
      <c r="CU43" s="6"/>
      <c r="CV43" s="6"/>
      <c r="CW43" s="6"/>
      <c r="CX43" s="6"/>
      <c r="CY43" s="21"/>
      <c r="CZ43" s="6"/>
      <c r="DA43" s="21"/>
      <c r="DB43" s="6"/>
      <c r="DC43" s="6"/>
      <c r="DD43" s="6"/>
      <c r="DE43" s="6"/>
      <c r="DF43" s="6"/>
      <c r="DG43" s="6"/>
      <c r="DH43" s="6"/>
      <c r="DI43" s="5"/>
      <c r="DJ43" s="5"/>
      <c r="DK43" s="6"/>
      <c r="DL43" s="19"/>
      <c r="DM43" s="5"/>
      <c r="DN43" s="19"/>
      <c r="DO43" s="6"/>
      <c r="DP43" s="6"/>
      <c r="DQ43" s="6"/>
      <c r="DR43" s="19"/>
      <c r="DS43" s="1" t="str">
        <f t="shared" si="1"/>
        <v/>
      </c>
    </row>
    <row r="44" spans="1:123" ht="13.5" customHeight="1" x14ac:dyDescent="0.25">
      <c r="A44" s="17" t="str">
        <f t="shared" si="0"/>
        <v/>
      </c>
      <c r="B44" s="5"/>
      <c r="C44" s="5"/>
      <c r="D44" s="5"/>
      <c r="E44" s="6"/>
      <c r="F44" s="19"/>
      <c r="G44" s="19"/>
      <c r="H44" s="19"/>
      <c r="I44" s="19"/>
      <c r="J44" s="19"/>
      <c r="K44" s="19"/>
      <c r="L44" s="19"/>
      <c r="M44" s="19"/>
      <c r="N44" s="19"/>
      <c r="O44" s="19"/>
      <c r="P44" s="6"/>
      <c r="Q44" s="6"/>
      <c r="R44" s="19"/>
      <c r="S44" s="6"/>
      <c r="T44" s="6"/>
      <c r="U44" s="6"/>
      <c r="V44" s="6"/>
      <c r="W44" s="6"/>
      <c r="X44" s="6"/>
      <c r="Y44" s="6"/>
      <c r="Z44" s="6"/>
      <c r="AA44" s="6"/>
      <c r="AB44" s="6"/>
      <c r="AC44" s="6"/>
      <c r="AD44" s="6"/>
      <c r="AE44" s="6"/>
      <c r="AF44" s="6"/>
      <c r="AG44" s="6"/>
      <c r="AH44" s="6"/>
      <c r="AI44" s="6"/>
      <c r="AJ44" s="6"/>
      <c r="AK44" s="6"/>
      <c r="AL44" s="6"/>
      <c r="AM44" s="6"/>
      <c r="AN44" s="6"/>
      <c r="AO44" s="6"/>
      <c r="AP44" s="6"/>
      <c r="AQ44" s="19"/>
      <c r="AR44" s="19"/>
      <c r="AS44" s="19"/>
      <c r="AT44" s="21"/>
      <c r="AU44" s="6"/>
      <c r="AV44" s="21"/>
      <c r="AW44" s="6"/>
      <c r="AX44" s="19"/>
      <c r="AY44" s="19"/>
      <c r="AZ44" s="6"/>
      <c r="BA44" s="6"/>
      <c r="BB44" s="6"/>
      <c r="BC44" s="6"/>
      <c r="BD44" s="6"/>
      <c r="BE44" s="6"/>
      <c r="BF44" s="6"/>
      <c r="BG44" s="6"/>
      <c r="BH44" s="19"/>
      <c r="BI44" s="19"/>
      <c r="BJ44" s="6"/>
      <c r="BK44" s="6"/>
      <c r="BL44" s="6"/>
      <c r="BM44" s="6"/>
      <c r="BN44" s="6"/>
      <c r="BO44" s="6"/>
      <c r="BP44" s="6"/>
      <c r="BQ44" s="6"/>
      <c r="BR44" s="6"/>
      <c r="BS44" s="6"/>
      <c r="BT44" s="6"/>
      <c r="BU44" s="19"/>
      <c r="BV44" s="6"/>
      <c r="BW44" s="6"/>
      <c r="BX44" s="6"/>
      <c r="BY44" s="6"/>
      <c r="BZ44" s="6"/>
      <c r="CA44" s="6"/>
      <c r="CB44" s="6"/>
      <c r="CC44" s="6"/>
      <c r="CD44" s="6"/>
      <c r="CE44" s="19"/>
      <c r="CF44" s="19"/>
      <c r="CG44" s="19"/>
      <c r="CH44" s="19"/>
      <c r="CI44" s="19"/>
      <c r="CJ44" s="19"/>
      <c r="CK44" s="19"/>
      <c r="CL44" s="19"/>
      <c r="CM44" s="19"/>
      <c r="CN44" s="19"/>
      <c r="CO44" s="6"/>
      <c r="CP44" s="6"/>
      <c r="CQ44" s="6"/>
      <c r="CR44" s="6"/>
      <c r="CS44" s="6"/>
      <c r="CT44" s="6"/>
      <c r="CU44" s="6"/>
      <c r="CV44" s="6"/>
      <c r="CW44" s="6"/>
      <c r="CX44" s="6"/>
      <c r="CY44" s="21"/>
      <c r="CZ44" s="6"/>
      <c r="DA44" s="21"/>
      <c r="DB44" s="6"/>
      <c r="DC44" s="6"/>
      <c r="DD44" s="6"/>
      <c r="DE44" s="6"/>
      <c r="DF44" s="6"/>
      <c r="DG44" s="6"/>
      <c r="DH44" s="6"/>
      <c r="DI44" s="5"/>
      <c r="DJ44" s="5"/>
      <c r="DK44" s="6"/>
      <c r="DL44" s="19"/>
      <c r="DM44" s="5"/>
      <c r="DN44" s="19"/>
      <c r="DO44" s="6"/>
      <c r="DP44" s="6"/>
      <c r="DQ44" s="6"/>
      <c r="DR44" s="19"/>
      <c r="DS44" s="1" t="str">
        <f t="shared" si="1"/>
        <v/>
      </c>
    </row>
    <row r="45" spans="1:123" ht="13.5" customHeight="1" x14ac:dyDescent="0.25">
      <c r="A45" s="17" t="str">
        <f t="shared" si="0"/>
        <v/>
      </c>
      <c r="B45" s="5"/>
      <c r="C45" s="5"/>
      <c r="D45" s="5"/>
      <c r="E45" s="6"/>
      <c r="F45" s="19"/>
      <c r="G45" s="19"/>
      <c r="H45" s="19"/>
      <c r="I45" s="19"/>
      <c r="J45" s="19"/>
      <c r="K45" s="19"/>
      <c r="L45" s="19"/>
      <c r="M45" s="19"/>
      <c r="N45" s="19"/>
      <c r="O45" s="19"/>
      <c r="P45" s="6"/>
      <c r="Q45" s="6"/>
      <c r="R45" s="19"/>
      <c r="S45" s="6"/>
      <c r="T45" s="6"/>
      <c r="U45" s="6"/>
      <c r="V45" s="6"/>
      <c r="W45" s="6"/>
      <c r="X45" s="6"/>
      <c r="Y45" s="6"/>
      <c r="Z45" s="6"/>
      <c r="AA45" s="6"/>
      <c r="AB45" s="6"/>
      <c r="AC45" s="6"/>
      <c r="AD45" s="6"/>
      <c r="AE45" s="6"/>
      <c r="AF45" s="6"/>
      <c r="AG45" s="6"/>
      <c r="AH45" s="6"/>
      <c r="AI45" s="6"/>
      <c r="AJ45" s="6"/>
      <c r="AK45" s="6"/>
      <c r="AL45" s="6"/>
      <c r="AM45" s="6"/>
      <c r="AN45" s="6"/>
      <c r="AO45" s="6"/>
      <c r="AP45" s="6"/>
      <c r="AQ45" s="19"/>
      <c r="AR45" s="19"/>
      <c r="AS45" s="19"/>
      <c r="AT45" s="21"/>
      <c r="AU45" s="6"/>
      <c r="AV45" s="21"/>
      <c r="AW45" s="6"/>
      <c r="AX45" s="19"/>
      <c r="AY45" s="19"/>
      <c r="AZ45" s="6"/>
      <c r="BA45" s="6"/>
      <c r="BB45" s="6"/>
      <c r="BC45" s="6"/>
      <c r="BD45" s="6"/>
      <c r="BE45" s="6"/>
      <c r="BF45" s="6"/>
      <c r="BG45" s="6"/>
      <c r="BH45" s="19"/>
      <c r="BI45" s="19"/>
      <c r="BJ45" s="6"/>
      <c r="BK45" s="6"/>
      <c r="BL45" s="6"/>
      <c r="BM45" s="6"/>
      <c r="BN45" s="6"/>
      <c r="BO45" s="6"/>
      <c r="BP45" s="6"/>
      <c r="BQ45" s="6"/>
      <c r="BR45" s="6"/>
      <c r="BS45" s="6"/>
      <c r="BT45" s="6"/>
      <c r="BU45" s="19"/>
      <c r="BV45" s="6"/>
      <c r="BW45" s="6"/>
      <c r="BX45" s="6"/>
      <c r="BY45" s="6"/>
      <c r="BZ45" s="6"/>
      <c r="CA45" s="6"/>
      <c r="CB45" s="6"/>
      <c r="CC45" s="6"/>
      <c r="CD45" s="6"/>
      <c r="CE45" s="19"/>
      <c r="CF45" s="19"/>
      <c r="CG45" s="19"/>
      <c r="CH45" s="19"/>
      <c r="CI45" s="19"/>
      <c r="CJ45" s="19"/>
      <c r="CK45" s="19"/>
      <c r="CL45" s="19"/>
      <c r="CM45" s="19"/>
      <c r="CN45" s="19"/>
      <c r="CO45" s="6"/>
      <c r="CP45" s="6"/>
      <c r="CQ45" s="6"/>
      <c r="CR45" s="6"/>
      <c r="CS45" s="6"/>
      <c r="CT45" s="6"/>
      <c r="CU45" s="6"/>
      <c r="CV45" s="6"/>
      <c r="CW45" s="6"/>
      <c r="CX45" s="6"/>
      <c r="CY45" s="21"/>
      <c r="CZ45" s="6"/>
      <c r="DA45" s="21"/>
      <c r="DB45" s="6"/>
      <c r="DC45" s="6"/>
      <c r="DD45" s="6"/>
      <c r="DE45" s="6"/>
      <c r="DF45" s="6"/>
      <c r="DG45" s="6"/>
      <c r="DH45" s="6"/>
      <c r="DI45" s="5"/>
      <c r="DJ45" s="5"/>
      <c r="DK45" s="6"/>
      <c r="DL45" s="19"/>
      <c r="DM45" s="5"/>
      <c r="DN45" s="19"/>
      <c r="DO45" s="6"/>
      <c r="DP45" s="6"/>
      <c r="DQ45" s="6"/>
      <c r="DR45" s="19"/>
      <c r="DS45" s="1" t="str">
        <f t="shared" si="1"/>
        <v/>
      </c>
    </row>
    <row r="46" spans="1:123" ht="13.5" customHeight="1" x14ac:dyDescent="0.25">
      <c r="A46" s="17" t="str">
        <f t="shared" si="0"/>
        <v/>
      </c>
      <c r="B46" s="5"/>
      <c r="C46" s="5"/>
      <c r="D46" s="5"/>
      <c r="E46" s="6"/>
      <c r="F46" s="19"/>
      <c r="G46" s="19"/>
      <c r="H46" s="19"/>
      <c r="I46" s="19"/>
      <c r="J46" s="19"/>
      <c r="K46" s="19"/>
      <c r="L46" s="19"/>
      <c r="M46" s="19"/>
      <c r="N46" s="19"/>
      <c r="O46" s="19"/>
      <c r="P46" s="6"/>
      <c r="Q46" s="6"/>
      <c r="R46" s="19"/>
      <c r="S46" s="6"/>
      <c r="T46" s="6"/>
      <c r="U46" s="6"/>
      <c r="V46" s="6"/>
      <c r="W46" s="6"/>
      <c r="X46" s="6"/>
      <c r="Y46" s="6"/>
      <c r="Z46" s="6"/>
      <c r="AA46" s="6"/>
      <c r="AB46" s="6"/>
      <c r="AC46" s="6"/>
      <c r="AD46" s="6"/>
      <c r="AE46" s="6"/>
      <c r="AF46" s="6"/>
      <c r="AG46" s="6"/>
      <c r="AH46" s="6"/>
      <c r="AI46" s="6"/>
      <c r="AJ46" s="6"/>
      <c r="AK46" s="6"/>
      <c r="AL46" s="6"/>
      <c r="AM46" s="6"/>
      <c r="AN46" s="6"/>
      <c r="AO46" s="6"/>
      <c r="AP46" s="6"/>
      <c r="AQ46" s="19"/>
      <c r="AR46" s="19"/>
      <c r="AS46" s="19"/>
      <c r="AT46" s="21"/>
      <c r="AU46" s="6"/>
      <c r="AV46" s="21"/>
      <c r="AW46" s="6"/>
      <c r="AX46" s="19"/>
      <c r="AY46" s="19"/>
      <c r="AZ46" s="6"/>
      <c r="BA46" s="6"/>
      <c r="BB46" s="6"/>
      <c r="BC46" s="6"/>
      <c r="BD46" s="6"/>
      <c r="BE46" s="6"/>
      <c r="BF46" s="6"/>
      <c r="BG46" s="6"/>
      <c r="BH46" s="19"/>
      <c r="BI46" s="19"/>
      <c r="BJ46" s="6"/>
      <c r="BK46" s="6"/>
      <c r="BL46" s="6"/>
      <c r="BM46" s="6"/>
      <c r="BN46" s="6"/>
      <c r="BO46" s="6"/>
      <c r="BP46" s="6"/>
      <c r="BQ46" s="6"/>
      <c r="BR46" s="6"/>
      <c r="BS46" s="6"/>
      <c r="BT46" s="6"/>
      <c r="BU46" s="19"/>
      <c r="BV46" s="6"/>
      <c r="BW46" s="6"/>
      <c r="BX46" s="6"/>
      <c r="BY46" s="6"/>
      <c r="BZ46" s="6"/>
      <c r="CA46" s="6"/>
      <c r="CB46" s="6"/>
      <c r="CC46" s="6"/>
      <c r="CD46" s="6"/>
      <c r="CE46" s="19"/>
      <c r="CF46" s="19"/>
      <c r="CG46" s="19"/>
      <c r="CH46" s="19"/>
      <c r="CI46" s="19"/>
      <c r="CJ46" s="19"/>
      <c r="CK46" s="19"/>
      <c r="CL46" s="19"/>
      <c r="CM46" s="19"/>
      <c r="CN46" s="19"/>
      <c r="CO46" s="6"/>
      <c r="CP46" s="6"/>
      <c r="CQ46" s="6"/>
      <c r="CR46" s="6"/>
      <c r="CS46" s="6"/>
      <c r="CT46" s="6"/>
      <c r="CU46" s="6"/>
      <c r="CV46" s="6"/>
      <c r="CW46" s="6"/>
      <c r="CX46" s="6"/>
      <c r="CY46" s="21"/>
      <c r="CZ46" s="6"/>
      <c r="DA46" s="21"/>
      <c r="DB46" s="6"/>
      <c r="DC46" s="6"/>
      <c r="DD46" s="6"/>
      <c r="DE46" s="6"/>
      <c r="DF46" s="6"/>
      <c r="DG46" s="6"/>
      <c r="DH46" s="6"/>
      <c r="DI46" s="5"/>
      <c r="DJ46" s="5"/>
      <c r="DK46" s="6"/>
      <c r="DL46" s="19"/>
      <c r="DM46" s="5"/>
      <c r="DN46" s="19"/>
      <c r="DO46" s="6"/>
      <c r="DP46" s="6"/>
      <c r="DQ46" s="6"/>
      <c r="DR46" s="19"/>
      <c r="DS46" s="1" t="str">
        <f t="shared" si="1"/>
        <v/>
      </c>
    </row>
  </sheetData>
  <mergeCells count="1">
    <mergeCell ref="A1:AD1"/>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3">
        <x14:dataValidation type="list" allowBlank="1" errorTitle="Invalid entry" error="Please pick a value from the list" xr:uid="{00000000-0002-0000-0200-000000000000}">
          <x14:formula1>
            <xm:f>Masters!$AH$4:$AH$23</xm:f>
          </x14:formula1>
          <x14:formula2>
            <xm:f>0</xm:f>
          </x14:formula2>
          <xm:sqref>P6:P46</xm:sqref>
        </x14:dataValidation>
        <x14:dataValidation type="list" allowBlank="1" errorTitle="Invalid entry" error="Please pick a value from the list" xr:uid="{00000000-0002-0000-0200-000001000000}">
          <x14:formula1>
            <xm:f>Masters!$J$4:$J$6</xm:f>
          </x14:formula1>
          <x14:formula2>
            <xm:f>0</xm:f>
          </x14:formula2>
          <xm:sqref>S6:S46</xm:sqref>
        </x14:dataValidation>
        <x14:dataValidation type="list" allowBlank="1" errorTitle="Invalid entry" error="Please pick a value from the list" xr:uid="{00000000-0002-0000-0200-000002000000}">
          <x14:formula1>
            <xm:f>Masters!$P$4:$P$5</xm:f>
          </x14:formula1>
          <x14:formula2>
            <xm:f>0</xm:f>
          </x14:formula2>
          <xm:sqref>AE6:AE46</xm:sqref>
        </x14:dataValidation>
        <x14:dataValidation type="list" allowBlank="1" errorTitle="Invalid entry" error="Please pick a value from the list" xr:uid="{00000000-0002-0000-0200-000003000000}">
          <x14:formula1>
            <xm:f>Masters!$A$4:$A$6</xm:f>
          </x14:formula1>
          <x14:formula2>
            <xm:f>0</xm:f>
          </x14:formula2>
          <xm:sqref>AP6:AP46</xm:sqref>
        </x14:dataValidation>
        <x14:dataValidation type="list" allowBlank="1" errorTitle="Invalid entry" error="Please pick a value from the list" xr:uid="{00000000-0002-0000-0200-000004000000}">
          <x14:formula1>
            <xm:f>Masters!$BC$4:$BC$252</xm:f>
          </x14:formula1>
          <x14:formula2>
            <xm:f>0</xm:f>
          </x14:formula2>
          <xm:sqref>AW6:AW46 CB6:CB46 BP6:BP46 BA6:BA46</xm:sqref>
        </x14:dataValidation>
        <x14:dataValidation type="list" allowBlank="1" errorTitle="Invalid entry" error="Please pick a value from the list" xr:uid="{00000000-0002-0000-0200-000006000000}">
          <x14:formula1>
            <xm:f>Masters!$M$4:$M$7</xm:f>
          </x14:formula1>
          <x14:formula2>
            <xm:f>0</xm:f>
          </x14:formula2>
          <xm:sqref>BC6:BC46</xm:sqref>
        </x14:dataValidation>
        <x14:dataValidation type="list" allowBlank="1" errorTitle="Invalid entry" error="Please pick a value from the list" xr:uid="{00000000-0002-0000-0200-000007000000}">
          <x14:formula1>
            <xm:f>Masters!$S$4:$S$5</xm:f>
          </x14:formula1>
          <x14:formula2>
            <xm:f>0</xm:f>
          </x14:formula2>
          <xm:sqref>BD6:BD46</xm:sqref>
        </x14:dataValidation>
        <x14:dataValidation type="list" allowBlank="1" errorTitle="Invalid entry" error="Please pick a value from the list" xr:uid="{00000000-0002-0000-0200-000008000000}">
          <x14:formula1>
            <xm:f>Masters!$AW$4:$AW$23</xm:f>
          </x14:formula1>
          <x14:formula2>
            <xm:f>0</xm:f>
          </x14:formula2>
          <xm:sqref>BE6:BE46</xm:sqref>
        </x14:dataValidation>
        <x14:dataValidation type="list" allowBlank="1" errorTitle="Invalid entry" error="Please pick a value from the list" xr:uid="{00000000-0002-0000-0200-000009000000}">
          <x14:formula1>
            <xm:f>Masters!$AZ$4:$AZ$45</xm:f>
          </x14:formula1>
          <x14:formula2>
            <xm:f>0</xm:f>
          </x14:formula2>
          <xm:sqref>BO6:BO46 CA6:CA46</xm:sqref>
        </x14:dataValidation>
        <x14:dataValidation type="list" allowBlank="1" errorTitle="Invalid entry" error="Please pick a value from the list" xr:uid="{00000000-0002-0000-0200-00000B000000}">
          <x14:formula1>
            <xm:f>Masters!$AQ$4:$AQ$20</xm:f>
          </x14:formula1>
          <x14:formula2>
            <xm:f>0</xm:f>
          </x14:formula2>
          <xm:sqref>BR6:BR46 CD6:CD46</xm:sqref>
        </x14:dataValidation>
        <x14:dataValidation type="list" allowBlank="1" errorTitle="Invalid entry" error="Please pick a value from the list" xr:uid="{00000000-0002-0000-0200-00000C000000}">
          <x14:formula1>
            <xm:f>Masters!$D$4:$D$5</xm:f>
          </x14:formula1>
          <x14:formula2>
            <xm:f>0</xm:f>
          </x14:formula2>
          <xm:sqref>BT6:BT46</xm:sqref>
        </x14:dataValidation>
        <x14:dataValidation type="list" allowBlank="1" errorTitle="Invalid entry" error="Please pick a value from the list" xr:uid="{00000000-0002-0000-0200-000010000000}">
          <x14:formula1>
            <xm:f>Masters!$V$4:$V$9</xm:f>
          </x14:formula1>
          <x14:formula2>
            <xm:f>0</xm:f>
          </x14:formula2>
          <xm:sqref>DB6:DB46</xm:sqref>
        </x14:dataValidation>
        <x14:dataValidation type="list" allowBlank="1" errorTitle="Invalid entry" error="Please pick a value from the list" xr:uid="{00000000-0002-0000-0200-000011000000}">
          <x14:formula1>
            <xm:f>Masters!$AE$4:$AE$4</xm:f>
          </x14:formula1>
          <x14:formula2>
            <xm:f>0</xm:f>
          </x14:formula2>
          <xm:sqref>DK6:DK46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46"/>
  <sheetViews>
    <sheetView showGridLines="0" zoomScaleNormal="100" workbookViewId="0">
      <pane xSplit="2" ySplit="5" topLeftCell="C6" activePane="bottomRight" state="frozen"/>
      <selection pane="topRight" activeCell="C1" sqref="C1"/>
      <selection pane="bottomLeft" activeCell="A6" sqref="A6"/>
      <selection pane="bottomRight" activeCell="H6" sqref="H6"/>
    </sheetView>
  </sheetViews>
  <sheetFormatPr defaultColWidth="8.7109375" defaultRowHeight="15" x14ac:dyDescent="0.25"/>
  <cols>
    <col min="1" max="12" width="15" customWidth="1"/>
    <col min="13" max="15" width="14" customWidth="1"/>
  </cols>
  <sheetData>
    <row r="1" spans="1:15" ht="21.75" customHeight="1" x14ac:dyDescent="0.25">
      <c r="A1" s="32" t="s">
        <v>282</v>
      </c>
      <c r="B1" s="32"/>
      <c r="C1" s="32"/>
      <c r="D1" s="32"/>
      <c r="E1" s="32"/>
      <c r="F1" s="32"/>
      <c r="G1" s="32"/>
      <c r="H1" s="32"/>
      <c r="I1" s="32"/>
      <c r="J1" s="32"/>
      <c r="K1" s="32"/>
      <c r="L1" s="32"/>
    </row>
    <row r="2" spans="1:15" ht="13.5" customHeight="1" x14ac:dyDescent="0.25">
      <c r="A2" s="10" t="s">
        <v>73</v>
      </c>
      <c r="B2" s="10" t="s">
        <v>73</v>
      </c>
      <c r="C2" s="10" t="s">
        <v>83</v>
      </c>
      <c r="D2" s="10" t="s">
        <v>83</v>
      </c>
      <c r="E2" s="10" t="s">
        <v>83</v>
      </c>
      <c r="F2" s="10" t="s">
        <v>78</v>
      </c>
      <c r="G2" s="10" t="s">
        <v>83</v>
      </c>
      <c r="H2" s="10" t="s">
        <v>83</v>
      </c>
      <c r="I2" s="10"/>
      <c r="J2" s="10"/>
      <c r="K2" s="10"/>
      <c r="L2" s="10"/>
    </row>
    <row r="3" spans="1:15" ht="30" customHeight="1" x14ac:dyDescent="0.25">
      <c r="A3" s="12" t="s">
        <v>87</v>
      </c>
      <c r="B3" s="12" t="s">
        <v>283</v>
      </c>
      <c r="C3" s="12" t="s">
        <v>284</v>
      </c>
      <c r="D3" s="12" t="s">
        <v>285</v>
      </c>
      <c r="E3" s="12" t="s">
        <v>286</v>
      </c>
      <c r="F3" s="12" t="s">
        <v>287</v>
      </c>
      <c r="G3" s="12" t="s">
        <v>288</v>
      </c>
      <c r="H3" s="12" t="s">
        <v>289</v>
      </c>
      <c r="I3" s="12" t="s">
        <v>290</v>
      </c>
      <c r="J3" s="12" t="s">
        <v>291</v>
      </c>
      <c r="K3" s="12" t="s">
        <v>292</v>
      </c>
      <c r="L3" s="12" t="s">
        <v>293</v>
      </c>
      <c r="M3" s="22" t="s">
        <v>294</v>
      </c>
      <c r="N3" s="22" t="s">
        <v>295</v>
      </c>
      <c r="O3" s="22" t="s">
        <v>208</v>
      </c>
    </row>
    <row r="4" spans="1:15" ht="12" customHeight="1" x14ac:dyDescent="0.25">
      <c r="A4" s="14" t="s">
        <v>209</v>
      </c>
      <c r="B4" s="14" t="s">
        <v>209</v>
      </c>
      <c r="C4" s="14" t="s">
        <v>209</v>
      </c>
      <c r="D4" s="14" t="s">
        <v>210</v>
      </c>
      <c r="E4" s="15" t="s">
        <v>211</v>
      </c>
      <c r="F4" s="15"/>
      <c r="G4" s="15"/>
      <c r="H4" s="15" t="s">
        <v>211</v>
      </c>
      <c r="I4" s="15" t="s">
        <v>211</v>
      </c>
      <c r="J4" s="15" t="s">
        <v>211</v>
      </c>
      <c r="K4" s="15" t="s">
        <v>211</v>
      </c>
      <c r="L4" s="15" t="s">
        <v>211</v>
      </c>
    </row>
    <row r="5" spans="1:15" ht="12" customHeight="1" x14ac:dyDescent="0.25">
      <c r="A5" s="16" t="s">
        <v>213</v>
      </c>
      <c r="B5" s="16" t="s">
        <v>214</v>
      </c>
      <c r="C5" s="16" t="s">
        <v>296</v>
      </c>
      <c r="D5" s="16" t="s">
        <v>297</v>
      </c>
      <c r="E5" s="16" t="s">
        <v>298</v>
      </c>
      <c r="F5" s="16"/>
      <c r="G5" s="16"/>
      <c r="H5" s="16" t="s">
        <v>299</v>
      </c>
      <c r="I5" s="16" t="s">
        <v>221</v>
      </c>
      <c r="J5" s="16" t="s">
        <v>221</v>
      </c>
      <c r="K5" s="16" t="s">
        <v>221</v>
      </c>
      <c r="L5" s="16" t="s">
        <v>221</v>
      </c>
    </row>
    <row r="6" spans="1:15" ht="13.5" customHeight="1" x14ac:dyDescent="0.25">
      <c r="A6" s="5" t="s">
        <v>300</v>
      </c>
      <c r="B6" s="18">
        <v>1</v>
      </c>
      <c r="C6" s="18" t="s">
        <v>301</v>
      </c>
      <c r="D6" s="18" t="s">
        <v>302</v>
      </c>
      <c r="E6" s="19"/>
      <c r="F6" s="19"/>
      <c r="G6" s="19"/>
      <c r="H6" s="18" t="s">
        <v>267</v>
      </c>
      <c r="I6" s="18"/>
      <c r="J6" s="18"/>
      <c r="K6" s="18"/>
      <c r="L6" s="18"/>
      <c r="M6" s="1">
        <f>IF(B6="","",COUNTIF($B$6:B6,B6))</f>
        <v>1</v>
      </c>
      <c r="N6" s="1" t="str">
        <f t="shared" ref="N6:N46" si="0">IF(B6="","",B6&amp;"-"&amp;M6)</f>
        <v>1-1</v>
      </c>
      <c r="O6" s="1" t="str">
        <f t="shared" ref="O6:O46" si="1">IF(B6="","",_xlfn.TEXTJOIN("|",FALSE(),A6:L6))</f>
        <v>30|1|A|T134erYSTIN||||02||||</v>
      </c>
    </row>
    <row r="7" spans="1:15" ht="13.5" customHeight="1" x14ac:dyDescent="0.25">
      <c r="A7" s="5" t="s">
        <v>300</v>
      </c>
      <c r="B7" s="23"/>
      <c r="C7" s="6"/>
      <c r="D7" s="6"/>
      <c r="E7" s="19"/>
      <c r="F7" s="19"/>
      <c r="G7" s="19"/>
      <c r="H7" s="6"/>
      <c r="I7" s="6"/>
      <c r="J7" s="6"/>
      <c r="K7" s="6"/>
      <c r="L7" s="6"/>
      <c r="M7" s="1" t="str">
        <f>IF(B7="","",COUNTIF($B$6:B7,B7))</f>
        <v/>
      </c>
      <c r="N7" s="1" t="str">
        <f t="shared" si="0"/>
        <v/>
      </c>
      <c r="O7" s="1" t="str">
        <f t="shared" si="1"/>
        <v/>
      </c>
    </row>
    <row r="8" spans="1:15" ht="13.5" customHeight="1" x14ac:dyDescent="0.25">
      <c r="A8" s="5" t="s">
        <v>300</v>
      </c>
      <c r="B8" s="23"/>
      <c r="C8" s="6"/>
      <c r="D8" s="6"/>
      <c r="E8" s="19"/>
      <c r="F8" s="19"/>
      <c r="G8" s="19"/>
      <c r="H8" s="6"/>
      <c r="I8" s="6"/>
      <c r="J8" s="6"/>
      <c r="K8" s="6"/>
      <c r="L8" s="6"/>
      <c r="M8" s="1" t="str">
        <f>IF(B8="","",COUNTIF($B$6:B8,B8))</f>
        <v/>
      </c>
      <c r="N8" s="1" t="str">
        <f t="shared" si="0"/>
        <v/>
      </c>
      <c r="O8" s="1" t="str">
        <f t="shared" si="1"/>
        <v/>
      </c>
    </row>
    <row r="9" spans="1:15" ht="13.5" customHeight="1" x14ac:dyDescent="0.25">
      <c r="A9" s="5" t="s">
        <v>300</v>
      </c>
      <c r="B9" s="23"/>
      <c r="C9" s="6"/>
      <c r="D9" s="6"/>
      <c r="E9" s="19"/>
      <c r="F9" s="19"/>
      <c r="G9" s="19"/>
      <c r="H9" s="6"/>
      <c r="I9" s="6"/>
      <c r="J9" s="6"/>
      <c r="K9" s="6"/>
      <c r="L9" s="6"/>
      <c r="M9" s="1" t="str">
        <f>IF(B9="","",COUNTIF($B$6:B9,B9))</f>
        <v/>
      </c>
      <c r="N9" s="1" t="str">
        <f t="shared" si="0"/>
        <v/>
      </c>
      <c r="O9" s="1" t="str">
        <f t="shared" si="1"/>
        <v/>
      </c>
    </row>
    <row r="10" spans="1:15" ht="13.5" customHeight="1" x14ac:dyDescent="0.25">
      <c r="A10" s="5" t="s">
        <v>300</v>
      </c>
      <c r="B10" s="23"/>
      <c r="C10" s="6"/>
      <c r="D10" s="6"/>
      <c r="E10" s="19"/>
      <c r="F10" s="19"/>
      <c r="G10" s="19"/>
      <c r="H10" s="6"/>
      <c r="I10" s="6"/>
      <c r="J10" s="6"/>
      <c r="K10" s="6"/>
      <c r="L10" s="6"/>
      <c r="M10" s="1" t="str">
        <f>IF(B10="","",COUNTIF($B$6:B10,B10))</f>
        <v/>
      </c>
      <c r="N10" s="1" t="str">
        <f t="shared" si="0"/>
        <v/>
      </c>
      <c r="O10" s="1" t="str">
        <f t="shared" si="1"/>
        <v/>
      </c>
    </row>
    <row r="11" spans="1:15" ht="13.5" customHeight="1" x14ac:dyDescent="0.25">
      <c r="A11" s="5" t="s">
        <v>300</v>
      </c>
      <c r="B11" s="23"/>
      <c r="C11" s="6"/>
      <c r="D11" s="6"/>
      <c r="E11" s="19"/>
      <c r="F11" s="19"/>
      <c r="G11" s="19"/>
      <c r="H11" s="6"/>
      <c r="I11" s="6"/>
      <c r="J11" s="6"/>
      <c r="K11" s="6"/>
      <c r="L11" s="6"/>
      <c r="M11" s="1" t="str">
        <f>IF(B11="","",COUNTIF($B$6:B11,B11))</f>
        <v/>
      </c>
      <c r="N11" s="1" t="str">
        <f t="shared" si="0"/>
        <v/>
      </c>
      <c r="O11" s="1" t="str">
        <f t="shared" si="1"/>
        <v/>
      </c>
    </row>
    <row r="12" spans="1:15" ht="13.5" customHeight="1" x14ac:dyDescent="0.25">
      <c r="A12" s="5" t="s">
        <v>300</v>
      </c>
      <c r="B12" s="23"/>
      <c r="C12" s="6"/>
      <c r="D12" s="6"/>
      <c r="E12" s="19"/>
      <c r="F12" s="19"/>
      <c r="G12" s="19"/>
      <c r="H12" s="6"/>
      <c r="I12" s="6"/>
      <c r="J12" s="6"/>
      <c r="K12" s="6"/>
      <c r="L12" s="6"/>
      <c r="M12" s="1" t="str">
        <f>IF(B12="","",COUNTIF($B$6:B12,B12))</f>
        <v/>
      </c>
      <c r="N12" s="1" t="str">
        <f t="shared" si="0"/>
        <v/>
      </c>
      <c r="O12" s="1" t="str">
        <f t="shared" si="1"/>
        <v/>
      </c>
    </row>
    <row r="13" spans="1:15" ht="13.5" customHeight="1" x14ac:dyDescent="0.25">
      <c r="A13" s="5" t="s">
        <v>300</v>
      </c>
      <c r="B13" s="23"/>
      <c r="C13" s="6"/>
      <c r="D13" s="6"/>
      <c r="E13" s="19"/>
      <c r="F13" s="19"/>
      <c r="G13" s="19"/>
      <c r="H13" s="6"/>
      <c r="I13" s="6"/>
      <c r="J13" s="6"/>
      <c r="K13" s="6"/>
      <c r="L13" s="6"/>
      <c r="M13" s="1" t="str">
        <f>IF(B13="","",COUNTIF($B$6:B13,B13))</f>
        <v/>
      </c>
      <c r="N13" s="1" t="str">
        <f t="shared" si="0"/>
        <v/>
      </c>
      <c r="O13" s="1" t="str">
        <f t="shared" si="1"/>
        <v/>
      </c>
    </row>
    <row r="14" spans="1:15" ht="13.5" customHeight="1" x14ac:dyDescent="0.25">
      <c r="A14" s="5" t="s">
        <v>300</v>
      </c>
      <c r="B14" s="23"/>
      <c r="C14" s="6"/>
      <c r="D14" s="6"/>
      <c r="E14" s="19"/>
      <c r="F14" s="19"/>
      <c r="G14" s="19"/>
      <c r="H14" s="6"/>
      <c r="I14" s="6"/>
      <c r="J14" s="6"/>
      <c r="K14" s="6"/>
      <c r="L14" s="6"/>
      <c r="M14" s="1" t="str">
        <f>IF(B14="","",COUNTIF($B$6:B14,B14))</f>
        <v/>
      </c>
      <c r="N14" s="1" t="str">
        <f t="shared" si="0"/>
        <v/>
      </c>
      <c r="O14" s="1" t="str">
        <f t="shared" si="1"/>
        <v/>
      </c>
    </row>
    <row r="15" spans="1:15" ht="13.5" customHeight="1" x14ac:dyDescent="0.25">
      <c r="A15" s="5" t="s">
        <v>300</v>
      </c>
      <c r="B15" s="23"/>
      <c r="C15" s="6"/>
      <c r="D15" s="6"/>
      <c r="E15" s="19"/>
      <c r="F15" s="19"/>
      <c r="G15" s="19"/>
      <c r="H15" s="6"/>
      <c r="I15" s="6"/>
      <c r="J15" s="6"/>
      <c r="K15" s="6"/>
      <c r="L15" s="6"/>
      <c r="M15" s="1" t="str">
        <f>IF(B15="","",COUNTIF($B$6:B15,B15))</f>
        <v/>
      </c>
      <c r="N15" s="1" t="str">
        <f t="shared" si="0"/>
        <v/>
      </c>
      <c r="O15" s="1" t="str">
        <f t="shared" si="1"/>
        <v/>
      </c>
    </row>
    <row r="16" spans="1:15" ht="13.5" customHeight="1" x14ac:dyDescent="0.25">
      <c r="A16" s="5" t="s">
        <v>300</v>
      </c>
      <c r="B16" s="23"/>
      <c r="C16" s="6"/>
      <c r="D16" s="6"/>
      <c r="E16" s="19"/>
      <c r="F16" s="19"/>
      <c r="G16" s="19"/>
      <c r="H16" s="6"/>
      <c r="I16" s="6"/>
      <c r="J16" s="6"/>
      <c r="K16" s="6"/>
      <c r="L16" s="6"/>
      <c r="M16" s="1" t="str">
        <f>IF(B16="","",COUNTIF($B$6:B16,B16))</f>
        <v/>
      </c>
      <c r="N16" s="1" t="str">
        <f t="shared" si="0"/>
        <v/>
      </c>
      <c r="O16" s="1" t="str">
        <f t="shared" si="1"/>
        <v/>
      </c>
    </row>
    <row r="17" spans="1:15" ht="13.5" customHeight="1" x14ac:dyDescent="0.25">
      <c r="A17" s="5" t="s">
        <v>300</v>
      </c>
      <c r="B17" s="23"/>
      <c r="C17" s="6"/>
      <c r="D17" s="6"/>
      <c r="E17" s="19"/>
      <c r="F17" s="19"/>
      <c r="G17" s="19"/>
      <c r="H17" s="6"/>
      <c r="I17" s="6"/>
      <c r="J17" s="6"/>
      <c r="K17" s="6"/>
      <c r="L17" s="6"/>
      <c r="M17" s="1" t="str">
        <f>IF(B17="","",COUNTIF($B$6:B17,B17))</f>
        <v/>
      </c>
      <c r="N17" s="1" t="str">
        <f t="shared" si="0"/>
        <v/>
      </c>
      <c r="O17" s="1" t="str">
        <f t="shared" si="1"/>
        <v/>
      </c>
    </row>
    <row r="18" spans="1:15" ht="13.5" customHeight="1" x14ac:dyDescent="0.25">
      <c r="A18" s="5" t="s">
        <v>300</v>
      </c>
      <c r="B18" s="23"/>
      <c r="C18" s="6"/>
      <c r="D18" s="6"/>
      <c r="E18" s="19"/>
      <c r="F18" s="19"/>
      <c r="G18" s="19"/>
      <c r="H18" s="6"/>
      <c r="I18" s="6"/>
      <c r="J18" s="6"/>
      <c r="K18" s="6"/>
      <c r="L18" s="6"/>
      <c r="M18" s="1" t="str">
        <f>IF(B18="","",COUNTIF($B$6:B18,B18))</f>
        <v/>
      </c>
      <c r="N18" s="1" t="str">
        <f t="shared" si="0"/>
        <v/>
      </c>
      <c r="O18" s="1" t="str">
        <f t="shared" si="1"/>
        <v/>
      </c>
    </row>
    <row r="19" spans="1:15" ht="13.5" customHeight="1" x14ac:dyDescent="0.25">
      <c r="A19" s="5" t="s">
        <v>300</v>
      </c>
      <c r="B19" s="23"/>
      <c r="C19" s="6"/>
      <c r="D19" s="6"/>
      <c r="E19" s="19"/>
      <c r="F19" s="19"/>
      <c r="G19" s="19"/>
      <c r="H19" s="6"/>
      <c r="I19" s="6"/>
      <c r="J19" s="6"/>
      <c r="K19" s="6"/>
      <c r="L19" s="6"/>
      <c r="M19" s="1" t="str">
        <f>IF(B19="","",COUNTIF($B$6:B19,B19))</f>
        <v/>
      </c>
      <c r="N19" s="1" t="str">
        <f t="shared" si="0"/>
        <v/>
      </c>
      <c r="O19" s="1" t="str">
        <f t="shared" si="1"/>
        <v/>
      </c>
    </row>
    <row r="20" spans="1:15" ht="13.5" customHeight="1" x14ac:dyDescent="0.25">
      <c r="A20" s="5" t="s">
        <v>300</v>
      </c>
      <c r="B20" s="23"/>
      <c r="C20" s="6"/>
      <c r="D20" s="6"/>
      <c r="E20" s="19"/>
      <c r="F20" s="19"/>
      <c r="G20" s="19"/>
      <c r="H20" s="6"/>
      <c r="I20" s="6"/>
      <c r="J20" s="6"/>
      <c r="K20" s="6"/>
      <c r="L20" s="6"/>
      <c r="M20" s="1" t="str">
        <f>IF(B20="","",COUNTIF($B$6:B20,B20))</f>
        <v/>
      </c>
      <c r="N20" s="1" t="str">
        <f t="shared" si="0"/>
        <v/>
      </c>
      <c r="O20" s="1" t="str">
        <f t="shared" si="1"/>
        <v/>
      </c>
    </row>
    <row r="21" spans="1:15" ht="13.5" customHeight="1" x14ac:dyDescent="0.25">
      <c r="A21" s="5" t="s">
        <v>300</v>
      </c>
      <c r="B21" s="23"/>
      <c r="C21" s="6"/>
      <c r="D21" s="6"/>
      <c r="E21" s="19"/>
      <c r="F21" s="19"/>
      <c r="G21" s="19"/>
      <c r="H21" s="6"/>
      <c r="I21" s="6"/>
      <c r="J21" s="6"/>
      <c r="K21" s="6"/>
      <c r="L21" s="6"/>
      <c r="M21" s="1" t="str">
        <f>IF(B21="","",COUNTIF($B$6:B21,B21))</f>
        <v/>
      </c>
      <c r="N21" s="1" t="str">
        <f t="shared" si="0"/>
        <v/>
      </c>
      <c r="O21" s="1" t="str">
        <f t="shared" si="1"/>
        <v/>
      </c>
    </row>
    <row r="22" spans="1:15" ht="13.5" customHeight="1" x14ac:dyDescent="0.25">
      <c r="A22" s="5" t="s">
        <v>300</v>
      </c>
      <c r="B22" s="23"/>
      <c r="C22" s="6"/>
      <c r="D22" s="6"/>
      <c r="E22" s="19"/>
      <c r="F22" s="19"/>
      <c r="G22" s="19"/>
      <c r="H22" s="6"/>
      <c r="I22" s="6"/>
      <c r="J22" s="6"/>
      <c r="K22" s="6"/>
      <c r="L22" s="6"/>
      <c r="M22" s="1" t="str">
        <f>IF(B22="","",COUNTIF($B$6:B22,B22))</f>
        <v/>
      </c>
      <c r="N22" s="1" t="str">
        <f t="shared" si="0"/>
        <v/>
      </c>
      <c r="O22" s="1" t="str">
        <f t="shared" si="1"/>
        <v/>
      </c>
    </row>
    <row r="23" spans="1:15" ht="13.5" customHeight="1" x14ac:dyDescent="0.25">
      <c r="A23" s="5" t="s">
        <v>300</v>
      </c>
      <c r="B23" s="23"/>
      <c r="C23" s="6"/>
      <c r="D23" s="6"/>
      <c r="E23" s="19"/>
      <c r="F23" s="19"/>
      <c r="G23" s="19"/>
      <c r="H23" s="6"/>
      <c r="I23" s="6"/>
      <c r="J23" s="6"/>
      <c r="K23" s="6"/>
      <c r="L23" s="6"/>
      <c r="M23" s="1" t="str">
        <f>IF(B23="","",COUNTIF($B$6:B23,B23))</f>
        <v/>
      </c>
      <c r="N23" s="1" t="str">
        <f t="shared" si="0"/>
        <v/>
      </c>
      <c r="O23" s="1" t="str">
        <f t="shared" si="1"/>
        <v/>
      </c>
    </row>
    <row r="24" spans="1:15" ht="13.5" customHeight="1" x14ac:dyDescent="0.25">
      <c r="A24" s="5" t="s">
        <v>300</v>
      </c>
      <c r="B24" s="23"/>
      <c r="C24" s="6"/>
      <c r="D24" s="6"/>
      <c r="E24" s="19"/>
      <c r="F24" s="19"/>
      <c r="G24" s="19"/>
      <c r="H24" s="6"/>
      <c r="I24" s="6"/>
      <c r="J24" s="6"/>
      <c r="K24" s="6"/>
      <c r="L24" s="6"/>
      <c r="M24" s="1" t="str">
        <f>IF(B24="","",COUNTIF($B$6:B24,B24))</f>
        <v/>
      </c>
      <c r="N24" s="1" t="str">
        <f t="shared" si="0"/>
        <v/>
      </c>
      <c r="O24" s="1" t="str">
        <f t="shared" si="1"/>
        <v/>
      </c>
    </row>
    <row r="25" spans="1:15" ht="13.5" customHeight="1" x14ac:dyDescent="0.25">
      <c r="A25" s="5" t="s">
        <v>300</v>
      </c>
      <c r="B25" s="23"/>
      <c r="C25" s="6"/>
      <c r="D25" s="6"/>
      <c r="E25" s="19"/>
      <c r="F25" s="19"/>
      <c r="G25" s="19"/>
      <c r="H25" s="6"/>
      <c r="I25" s="6"/>
      <c r="J25" s="6"/>
      <c r="K25" s="6"/>
      <c r="L25" s="6"/>
      <c r="M25" s="1" t="str">
        <f>IF(B25="","",COUNTIF($B$6:B25,B25))</f>
        <v/>
      </c>
      <c r="N25" s="1" t="str">
        <f t="shared" si="0"/>
        <v/>
      </c>
      <c r="O25" s="1" t="str">
        <f t="shared" si="1"/>
        <v/>
      </c>
    </row>
    <row r="26" spans="1:15" ht="13.5" customHeight="1" x14ac:dyDescent="0.25">
      <c r="A26" s="5" t="s">
        <v>300</v>
      </c>
      <c r="B26" s="23"/>
      <c r="C26" s="6"/>
      <c r="D26" s="6"/>
      <c r="E26" s="19"/>
      <c r="F26" s="19"/>
      <c r="G26" s="19"/>
      <c r="H26" s="6"/>
      <c r="I26" s="6"/>
      <c r="J26" s="6"/>
      <c r="K26" s="6"/>
      <c r="L26" s="6"/>
      <c r="M26" s="1" t="str">
        <f>IF(B26="","",COUNTIF($B$6:B26,B26))</f>
        <v/>
      </c>
      <c r="N26" s="1" t="str">
        <f t="shared" si="0"/>
        <v/>
      </c>
      <c r="O26" s="1" t="str">
        <f t="shared" si="1"/>
        <v/>
      </c>
    </row>
    <row r="27" spans="1:15" ht="13.5" customHeight="1" x14ac:dyDescent="0.25">
      <c r="A27" s="5" t="s">
        <v>300</v>
      </c>
      <c r="B27" s="23"/>
      <c r="C27" s="6"/>
      <c r="D27" s="6"/>
      <c r="E27" s="19"/>
      <c r="F27" s="19"/>
      <c r="G27" s="19"/>
      <c r="H27" s="6"/>
      <c r="I27" s="6"/>
      <c r="J27" s="6"/>
      <c r="K27" s="6"/>
      <c r="L27" s="6"/>
      <c r="M27" s="1" t="str">
        <f>IF(B27="","",COUNTIF($B$6:B27,B27))</f>
        <v/>
      </c>
      <c r="N27" s="1" t="str">
        <f t="shared" si="0"/>
        <v/>
      </c>
      <c r="O27" s="1" t="str">
        <f t="shared" si="1"/>
        <v/>
      </c>
    </row>
    <row r="28" spans="1:15" ht="13.5" customHeight="1" x14ac:dyDescent="0.25">
      <c r="A28" s="5" t="s">
        <v>300</v>
      </c>
      <c r="B28" s="23"/>
      <c r="C28" s="6"/>
      <c r="D28" s="6"/>
      <c r="E28" s="19"/>
      <c r="F28" s="19"/>
      <c r="G28" s="19"/>
      <c r="H28" s="6"/>
      <c r="I28" s="6"/>
      <c r="J28" s="6"/>
      <c r="K28" s="6"/>
      <c r="L28" s="6"/>
      <c r="M28" s="1" t="str">
        <f>IF(B28="","",COUNTIF($B$6:B28,B28))</f>
        <v/>
      </c>
      <c r="N28" s="1" t="str">
        <f t="shared" si="0"/>
        <v/>
      </c>
      <c r="O28" s="1" t="str">
        <f t="shared" si="1"/>
        <v/>
      </c>
    </row>
    <row r="29" spans="1:15" ht="13.5" customHeight="1" x14ac:dyDescent="0.25">
      <c r="A29" s="5" t="s">
        <v>300</v>
      </c>
      <c r="B29" s="23"/>
      <c r="C29" s="6"/>
      <c r="D29" s="6"/>
      <c r="E29" s="19"/>
      <c r="F29" s="19"/>
      <c r="G29" s="19"/>
      <c r="H29" s="6"/>
      <c r="I29" s="6"/>
      <c r="J29" s="6"/>
      <c r="K29" s="6"/>
      <c r="L29" s="6"/>
      <c r="M29" s="1" t="str">
        <f>IF(B29="","",COUNTIF($B$6:B29,B29))</f>
        <v/>
      </c>
      <c r="N29" s="1" t="str">
        <f t="shared" si="0"/>
        <v/>
      </c>
      <c r="O29" s="1" t="str">
        <f t="shared" si="1"/>
        <v/>
      </c>
    </row>
    <row r="30" spans="1:15" ht="13.5" customHeight="1" x14ac:dyDescent="0.25">
      <c r="A30" s="5" t="s">
        <v>300</v>
      </c>
      <c r="B30" s="23"/>
      <c r="C30" s="6"/>
      <c r="D30" s="6"/>
      <c r="E30" s="19"/>
      <c r="F30" s="19"/>
      <c r="G30" s="19"/>
      <c r="H30" s="6"/>
      <c r="I30" s="6"/>
      <c r="J30" s="6"/>
      <c r="K30" s="6"/>
      <c r="L30" s="6"/>
      <c r="M30" s="1" t="str">
        <f>IF(B30="","",COUNTIF($B$6:B30,B30))</f>
        <v/>
      </c>
      <c r="N30" s="1" t="str">
        <f t="shared" si="0"/>
        <v/>
      </c>
      <c r="O30" s="1" t="str">
        <f t="shared" si="1"/>
        <v/>
      </c>
    </row>
    <row r="31" spans="1:15" ht="13.5" customHeight="1" x14ac:dyDescent="0.25">
      <c r="A31" s="5" t="s">
        <v>300</v>
      </c>
      <c r="B31" s="23"/>
      <c r="C31" s="6"/>
      <c r="D31" s="6"/>
      <c r="E31" s="19"/>
      <c r="F31" s="19"/>
      <c r="G31" s="19"/>
      <c r="H31" s="6"/>
      <c r="I31" s="6"/>
      <c r="J31" s="6"/>
      <c r="K31" s="6"/>
      <c r="L31" s="6"/>
      <c r="M31" s="1" t="str">
        <f>IF(B31="","",COUNTIF($B$6:B31,B31))</f>
        <v/>
      </c>
      <c r="N31" s="1" t="str">
        <f t="shared" si="0"/>
        <v/>
      </c>
      <c r="O31" s="1" t="str">
        <f t="shared" si="1"/>
        <v/>
      </c>
    </row>
    <row r="32" spans="1:15" ht="13.5" customHeight="1" x14ac:dyDescent="0.25">
      <c r="A32" s="5" t="s">
        <v>300</v>
      </c>
      <c r="B32" s="23"/>
      <c r="C32" s="6"/>
      <c r="D32" s="6"/>
      <c r="E32" s="19"/>
      <c r="F32" s="19"/>
      <c r="G32" s="19"/>
      <c r="H32" s="6"/>
      <c r="I32" s="6"/>
      <c r="J32" s="6"/>
      <c r="K32" s="6"/>
      <c r="L32" s="6"/>
      <c r="M32" s="1" t="str">
        <f>IF(B32="","",COUNTIF($B$6:B32,B32))</f>
        <v/>
      </c>
      <c r="N32" s="1" t="str">
        <f t="shared" si="0"/>
        <v/>
      </c>
      <c r="O32" s="1" t="str">
        <f t="shared" si="1"/>
        <v/>
      </c>
    </row>
    <row r="33" spans="1:15" ht="13.5" customHeight="1" x14ac:dyDescent="0.25">
      <c r="A33" s="5" t="s">
        <v>300</v>
      </c>
      <c r="B33" s="23"/>
      <c r="C33" s="6"/>
      <c r="D33" s="6"/>
      <c r="E33" s="19"/>
      <c r="F33" s="19"/>
      <c r="G33" s="19"/>
      <c r="H33" s="6"/>
      <c r="I33" s="6"/>
      <c r="J33" s="6"/>
      <c r="K33" s="6"/>
      <c r="L33" s="6"/>
      <c r="M33" s="1" t="str">
        <f>IF(B33="","",COUNTIF($B$6:B33,B33))</f>
        <v/>
      </c>
      <c r="N33" s="1" t="str">
        <f t="shared" si="0"/>
        <v/>
      </c>
      <c r="O33" s="1" t="str">
        <f t="shared" si="1"/>
        <v/>
      </c>
    </row>
    <row r="34" spans="1:15" ht="13.5" customHeight="1" x14ac:dyDescent="0.25">
      <c r="A34" s="5" t="s">
        <v>300</v>
      </c>
      <c r="B34" s="23"/>
      <c r="C34" s="6"/>
      <c r="D34" s="6"/>
      <c r="E34" s="19"/>
      <c r="F34" s="19"/>
      <c r="G34" s="19"/>
      <c r="H34" s="6"/>
      <c r="I34" s="6"/>
      <c r="J34" s="6"/>
      <c r="K34" s="6"/>
      <c r="L34" s="6"/>
      <c r="M34" s="1" t="str">
        <f>IF(B34="","",COUNTIF($B$6:B34,B34))</f>
        <v/>
      </c>
      <c r="N34" s="1" t="str">
        <f t="shared" si="0"/>
        <v/>
      </c>
      <c r="O34" s="1" t="str">
        <f t="shared" si="1"/>
        <v/>
      </c>
    </row>
    <row r="35" spans="1:15" ht="13.5" customHeight="1" x14ac:dyDescent="0.25">
      <c r="A35" s="5" t="s">
        <v>300</v>
      </c>
      <c r="B35" s="23"/>
      <c r="C35" s="6"/>
      <c r="D35" s="6"/>
      <c r="E35" s="19"/>
      <c r="F35" s="19"/>
      <c r="G35" s="19"/>
      <c r="H35" s="6"/>
      <c r="I35" s="6"/>
      <c r="J35" s="6"/>
      <c r="K35" s="6"/>
      <c r="L35" s="6"/>
      <c r="M35" s="1" t="str">
        <f>IF(B35="","",COUNTIF($B$6:B35,B35))</f>
        <v/>
      </c>
      <c r="N35" s="1" t="str">
        <f t="shared" si="0"/>
        <v/>
      </c>
      <c r="O35" s="1" t="str">
        <f t="shared" si="1"/>
        <v/>
      </c>
    </row>
    <row r="36" spans="1:15" ht="13.5" customHeight="1" x14ac:dyDescent="0.25">
      <c r="A36" s="5" t="s">
        <v>300</v>
      </c>
      <c r="B36" s="23"/>
      <c r="C36" s="6"/>
      <c r="D36" s="6"/>
      <c r="E36" s="19"/>
      <c r="F36" s="19"/>
      <c r="G36" s="19"/>
      <c r="H36" s="6"/>
      <c r="I36" s="6"/>
      <c r="J36" s="6"/>
      <c r="K36" s="6"/>
      <c r="L36" s="6"/>
      <c r="M36" s="1" t="str">
        <f>IF(B36="","",COUNTIF($B$6:B36,B36))</f>
        <v/>
      </c>
      <c r="N36" s="1" t="str">
        <f t="shared" si="0"/>
        <v/>
      </c>
      <c r="O36" s="1" t="str">
        <f t="shared" si="1"/>
        <v/>
      </c>
    </row>
    <row r="37" spans="1:15" ht="13.5" customHeight="1" x14ac:dyDescent="0.25">
      <c r="A37" s="5" t="s">
        <v>300</v>
      </c>
      <c r="B37" s="23"/>
      <c r="C37" s="6"/>
      <c r="D37" s="6"/>
      <c r="E37" s="19"/>
      <c r="F37" s="19"/>
      <c r="G37" s="19"/>
      <c r="H37" s="6"/>
      <c r="I37" s="6"/>
      <c r="J37" s="6"/>
      <c r="K37" s="6"/>
      <c r="L37" s="6"/>
      <c r="M37" s="1" t="str">
        <f>IF(B37="","",COUNTIF($B$6:B37,B37))</f>
        <v/>
      </c>
      <c r="N37" s="1" t="str">
        <f t="shared" si="0"/>
        <v/>
      </c>
      <c r="O37" s="1" t="str">
        <f t="shared" si="1"/>
        <v/>
      </c>
    </row>
    <row r="38" spans="1:15" ht="13.5" customHeight="1" x14ac:dyDescent="0.25">
      <c r="A38" s="5" t="s">
        <v>300</v>
      </c>
      <c r="B38" s="23"/>
      <c r="C38" s="6"/>
      <c r="D38" s="6"/>
      <c r="E38" s="19"/>
      <c r="F38" s="19"/>
      <c r="G38" s="19"/>
      <c r="H38" s="6"/>
      <c r="I38" s="6"/>
      <c r="J38" s="6"/>
      <c r="K38" s="6"/>
      <c r="L38" s="6"/>
      <c r="M38" s="1" t="str">
        <f>IF(B38="","",COUNTIF($B$6:B38,B38))</f>
        <v/>
      </c>
      <c r="N38" s="1" t="str">
        <f t="shared" si="0"/>
        <v/>
      </c>
      <c r="O38" s="1" t="str">
        <f t="shared" si="1"/>
        <v/>
      </c>
    </row>
    <row r="39" spans="1:15" ht="13.5" customHeight="1" x14ac:dyDescent="0.25">
      <c r="A39" s="5" t="s">
        <v>300</v>
      </c>
      <c r="B39" s="23"/>
      <c r="C39" s="6"/>
      <c r="D39" s="6"/>
      <c r="E39" s="19"/>
      <c r="F39" s="19"/>
      <c r="G39" s="19"/>
      <c r="H39" s="6"/>
      <c r="I39" s="6"/>
      <c r="J39" s="6"/>
      <c r="K39" s="6"/>
      <c r="L39" s="6"/>
      <c r="M39" s="1" t="str">
        <f>IF(B39="","",COUNTIF($B$6:B39,B39))</f>
        <v/>
      </c>
      <c r="N39" s="1" t="str">
        <f t="shared" si="0"/>
        <v/>
      </c>
      <c r="O39" s="1" t="str">
        <f t="shared" si="1"/>
        <v/>
      </c>
    </row>
    <row r="40" spans="1:15" ht="13.5" customHeight="1" x14ac:dyDescent="0.25">
      <c r="A40" s="5" t="s">
        <v>300</v>
      </c>
      <c r="B40" s="23"/>
      <c r="C40" s="6"/>
      <c r="D40" s="6"/>
      <c r="E40" s="19"/>
      <c r="F40" s="19"/>
      <c r="G40" s="19"/>
      <c r="H40" s="6"/>
      <c r="I40" s="6"/>
      <c r="J40" s="6"/>
      <c r="K40" s="6"/>
      <c r="L40" s="6"/>
      <c r="M40" s="1" t="str">
        <f>IF(B40="","",COUNTIF($B$6:B40,B40))</f>
        <v/>
      </c>
      <c r="N40" s="1" t="str">
        <f t="shared" si="0"/>
        <v/>
      </c>
      <c r="O40" s="1" t="str">
        <f t="shared" si="1"/>
        <v/>
      </c>
    </row>
    <row r="41" spans="1:15" ht="13.5" customHeight="1" x14ac:dyDescent="0.25">
      <c r="A41" s="5" t="s">
        <v>300</v>
      </c>
      <c r="B41" s="23"/>
      <c r="C41" s="6"/>
      <c r="D41" s="6"/>
      <c r="E41" s="19"/>
      <c r="F41" s="19"/>
      <c r="G41" s="19"/>
      <c r="H41" s="6"/>
      <c r="I41" s="6"/>
      <c r="J41" s="6"/>
      <c r="K41" s="6"/>
      <c r="L41" s="6"/>
      <c r="M41" s="1" t="str">
        <f>IF(B41="","",COUNTIF($B$6:B41,B41))</f>
        <v/>
      </c>
      <c r="N41" s="1" t="str">
        <f t="shared" si="0"/>
        <v/>
      </c>
      <c r="O41" s="1" t="str">
        <f t="shared" si="1"/>
        <v/>
      </c>
    </row>
    <row r="42" spans="1:15" ht="13.5" customHeight="1" x14ac:dyDescent="0.25">
      <c r="A42" s="5" t="s">
        <v>300</v>
      </c>
      <c r="B42" s="23"/>
      <c r="C42" s="6"/>
      <c r="D42" s="6"/>
      <c r="E42" s="19"/>
      <c r="F42" s="19"/>
      <c r="G42" s="19"/>
      <c r="H42" s="6"/>
      <c r="I42" s="6"/>
      <c r="J42" s="6"/>
      <c r="K42" s="6"/>
      <c r="L42" s="6"/>
      <c r="M42" s="1" t="str">
        <f>IF(B42="","",COUNTIF($B$6:B42,B42))</f>
        <v/>
      </c>
      <c r="N42" s="1" t="str">
        <f t="shared" si="0"/>
        <v/>
      </c>
      <c r="O42" s="1" t="str">
        <f t="shared" si="1"/>
        <v/>
      </c>
    </row>
    <row r="43" spans="1:15" ht="13.5" customHeight="1" x14ac:dyDescent="0.25">
      <c r="A43" s="5" t="s">
        <v>300</v>
      </c>
      <c r="B43" s="23"/>
      <c r="C43" s="6"/>
      <c r="D43" s="6"/>
      <c r="E43" s="19"/>
      <c r="F43" s="19"/>
      <c r="G43" s="19"/>
      <c r="H43" s="6"/>
      <c r="I43" s="6"/>
      <c r="J43" s="6"/>
      <c r="K43" s="6"/>
      <c r="L43" s="6"/>
      <c r="M43" s="1" t="str">
        <f>IF(B43="","",COUNTIF($B$6:B43,B43))</f>
        <v/>
      </c>
      <c r="N43" s="1" t="str">
        <f t="shared" si="0"/>
        <v/>
      </c>
      <c r="O43" s="1" t="str">
        <f t="shared" si="1"/>
        <v/>
      </c>
    </row>
    <row r="44" spans="1:15" ht="13.5" customHeight="1" x14ac:dyDescent="0.25">
      <c r="A44" s="5" t="s">
        <v>300</v>
      </c>
      <c r="B44" s="23"/>
      <c r="C44" s="6"/>
      <c r="D44" s="6"/>
      <c r="E44" s="19"/>
      <c r="F44" s="19"/>
      <c r="G44" s="19"/>
      <c r="H44" s="6"/>
      <c r="I44" s="6"/>
      <c r="J44" s="6"/>
      <c r="K44" s="6"/>
      <c r="L44" s="6"/>
      <c r="M44" s="1" t="str">
        <f>IF(B44="","",COUNTIF($B$6:B44,B44))</f>
        <v/>
      </c>
      <c r="N44" s="1" t="str">
        <f t="shared" si="0"/>
        <v/>
      </c>
      <c r="O44" s="1" t="str">
        <f t="shared" si="1"/>
        <v/>
      </c>
    </row>
    <row r="45" spans="1:15" ht="13.5" customHeight="1" x14ac:dyDescent="0.25">
      <c r="A45" s="5" t="s">
        <v>300</v>
      </c>
      <c r="B45" s="23"/>
      <c r="C45" s="6"/>
      <c r="D45" s="6"/>
      <c r="E45" s="19"/>
      <c r="F45" s="19"/>
      <c r="G45" s="19"/>
      <c r="H45" s="6"/>
      <c r="I45" s="6"/>
      <c r="J45" s="6"/>
      <c r="K45" s="6"/>
      <c r="L45" s="6"/>
      <c r="M45" s="1" t="str">
        <f>IF(B45="","",COUNTIF($B$6:B45,B45))</f>
        <v/>
      </c>
      <c r="N45" s="1" t="str">
        <f t="shared" si="0"/>
        <v/>
      </c>
      <c r="O45" s="1" t="str">
        <f t="shared" si="1"/>
        <v/>
      </c>
    </row>
    <row r="46" spans="1:15" ht="13.5" customHeight="1" x14ac:dyDescent="0.25">
      <c r="A46" s="5" t="s">
        <v>300</v>
      </c>
      <c r="B46" s="23"/>
      <c r="C46" s="6"/>
      <c r="D46" s="6"/>
      <c r="E46" s="19"/>
      <c r="F46" s="19"/>
      <c r="G46" s="19"/>
      <c r="H46" s="6"/>
      <c r="I46" s="6"/>
      <c r="J46" s="6"/>
      <c r="K46" s="6"/>
      <c r="L46" s="6"/>
      <c r="M46" s="1" t="str">
        <f>IF(B46="","",COUNTIF($B$6:B46,B46))</f>
        <v/>
      </c>
      <c r="N46" s="1" t="str">
        <f t="shared" si="0"/>
        <v/>
      </c>
      <c r="O46" s="1" t="str">
        <f t="shared" si="1"/>
        <v/>
      </c>
    </row>
  </sheetData>
  <mergeCells count="1">
    <mergeCell ref="A1:L1"/>
  </mergeCells>
  <dataValidations count="1">
    <dataValidation type="list" allowBlank="1" sqref="H6:H46" xr:uid="{00000000-0002-0000-0300-000001000000}">
      <formula1>"01,02"</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errorTitle="Invalid entry" error="Please pick a value from the list" xr:uid="{00000000-0002-0000-0300-000000000000}">
          <x14:formula1>
            <xm:f>Masters!$AN$4:$AN$26</xm:f>
          </x14:formula1>
          <x14:formula2>
            <xm:f>0</xm:f>
          </x14:formula2>
          <xm:sqref>C6:C46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O26"/>
  <sheetViews>
    <sheetView showGridLines="0" zoomScaleNormal="100" workbookViewId="0">
      <pane xSplit="2" ySplit="5" topLeftCell="C6" activePane="bottomRight" state="frozen"/>
      <selection pane="topRight" activeCell="C1" sqref="C1"/>
      <selection pane="bottomLeft" activeCell="A6" sqref="A6"/>
      <selection pane="bottomRight" activeCell="B6" sqref="B6"/>
    </sheetView>
  </sheetViews>
  <sheetFormatPr defaultColWidth="8.7109375" defaultRowHeight="15" x14ac:dyDescent="0.25"/>
  <cols>
    <col min="1" max="90" width="15" customWidth="1"/>
    <col min="91" max="93" width="14" customWidth="1"/>
  </cols>
  <sheetData>
    <row r="1" spans="1:93" ht="21.75" customHeight="1" x14ac:dyDescent="0.25">
      <c r="A1" s="32" t="s">
        <v>303</v>
      </c>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row>
    <row r="2" spans="1:93" ht="13.5" customHeight="1" x14ac:dyDescent="0.25">
      <c r="A2" s="10" t="s">
        <v>73</v>
      </c>
      <c r="B2" s="10" t="s">
        <v>73</v>
      </c>
      <c r="C2" s="10" t="s">
        <v>304</v>
      </c>
      <c r="D2" s="10" t="s">
        <v>74</v>
      </c>
      <c r="E2" s="10" t="s">
        <v>304</v>
      </c>
      <c r="F2" s="10" t="s">
        <v>304</v>
      </c>
      <c r="G2" s="10" t="s">
        <v>304</v>
      </c>
      <c r="H2" s="10" t="s">
        <v>304</v>
      </c>
      <c r="I2" s="10" t="s">
        <v>304</v>
      </c>
      <c r="J2" s="10" t="s">
        <v>304</v>
      </c>
      <c r="K2" s="10" t="s">
        <v>304</v>
      </c>
      <c r="L2" s="10" t="s">
        <v>304</v>
      </c>
      <c r="M2" s="10" t="s">
        <v>304</v>
      </c>
      <c r="N2" s="10" t="s">
        <v>304</v>
      </c>
      <c r="O2" s="10" t="s">
        <v>304</v>
      </c>
      <c r="P2" s="10" t="s">
        <v>304</v>
      </c>
      <c r="Q2" s="10" t="s">
        <v>304</v>
      </c>
      <c r="R2" s="10" t="s">
        <v>304</v>
      </c>
      <c r="S2" s="10" t="s">
        <v>304</v>
      </c>
      <c r="T2" s="10" t="s">
        <v>304</v>
      </c>
      <c r="U2" s="10" t="s">
        <v>304</v>
      </c>
      <c r="V2" s="10" t="s">
        <v>304</v>
      </c>
      <c r="W2" s="10" t="s">
        <v>304</v>
      </c>
      <c r="X2" s="10" t="s">
        <v>304</v>
      </c>
      <c r="Y2" s="10" t="s">
        <v>78</v>
      </c>
      <c r="Z2" s="10" t="s">
        <v>304</v>
      </c>
      <c r="AA2" s="10" t="s">
        <v>304</v>
      </c>
      <c r="AB2" s="10" t="s">
        <v>76</v>
      </c>
      <c r="AC2" s="10" t="s">
        <v>76</v>
      </c>
      <c r="AD2" s="10" t="s">
        <v>76</v>
      </c>
      <c r="AE2" s="10" t="s">
        <v>76</v>
      </c>
      <c r="AF2" s="10" t="s">
        <v>78</v>
      </c>
      <c r="AG2" s="10" t="s">
        <v>78</v>
      </c>
      <c r="AH2" s="10" t="s">
        <v>304</v>
      </c>
      <c r="AI2" s="10" t="s">
        <v>304</v>
      </c>
      <c r="AJ2" s="10" t="s">
        <v>304</v>
      </c>
      <c r="AK2" s="10" t="s">
        <v>304</v>
      </c>
      <c r="AL2" s="10" t="s">
        <v>304</v>
      </c>
      <c r="AM2" s="10" t="s">
        <v>304</v>
      </c>
      <c r="AN2" s="10" t="s">
        <v>304</v>
      </c>
      <c r="AO2" s="10" t="s">
        <v>304</v>
      </c>
      <c r="AP2" s="10" t="s">
        <v>304</v>
      </c>
      <c r="AQ2" s="10" t="s">
        <v>304</v>
      </c>
      <c r="AR2" s="10" t="s">
        <v>304</v>
      </c>
      <c r="AS2" s="10" t="s">
        <v>304</v>
      </c>
      <c r="AT2" s="10" t="s">
        <v>304</v>
      </c>
      <c r="AU2" s="10" t="s">
        <v>304</v>
      </c>
      <c r="AV2" s="10" t="s">
        <v>304</v>
      </c>
      <c r="AW2" s="10" t="s">
        <v>304</v>
      </c>
      <c r="AX2" s="10" t="s">
        <v>304</v>
      </c>
      <c r="AY2" s="10" t="s">
        <v>304</v>
      </c>
      <c r="AZ2" s="10" t="s">
        <v>304</v>
      </c>
      <c r="BA2" s="10" t="s">
        <v>304</v>
      </c>
      <c r="BB2" s="10" t="s">
        <v>304</v>
      </c>
      <c r="BC2" s="10" t="s">
        <v>304</v>
      </c>
      <c r="BD2" s="10" t="s">
        <v>304</v>
      </c>
      <c r="BE2" s="10" t="s">
        <v>304</v>
      </c>
      <c r="BF2" s="10" t="s">
        <v>304</v>
      </c>
      <c r="BG2" s="10" t="s">
        <v>304</v>
      </c>
      <c r="BH2" s="10" t="s">
        <v>304</v>
      </c>
      <c r="BI2" s="10" t="s">
        <v>304</v>
      </c>
      <c r="BJ2" s="10" t="s">
        <v>304</v>
      </c>
      <c r="BK2" s="10" t="s">
        <v>304</v>
      </c>
      <c r="BL2" s="10" t="s">
        <v>304</v>
      </c>
      <c r="BM2" s="10" t="s">
        <v>304</v>
      </c>
      <c r="BN2" s="10" t="s">
        <v>304</v>
      </c>
      <c r="BO2" s="10" t="s">
        <v>304</v>
      </c>
      <c r="BP2" s="10" t="s">
        <v>304</v>
      </c>
      <c r="BQ2" s="10" t="s">
        <v>304</v>
      </c>
      <c r="BR2" s="10" t="s">
        <v>304</v>
      </c>
      <c r="BS2" s="10" t="s">
        <v>304</v>
      </c>
      <c r="BT2" s="10" t="s">
        <v>78</v>
      </c>
      <c r="BU2" s="10" t="s">
        <v>78</v>
      </c>
      <c r="BV2" s="10" t="s">
        <v>304</v>
      </c>
      <c r="BW2" s="10" t="s">
        <v>304</v>
      </c>
      <c r="BX2" s="10" t="s">
        <v>304</v>
      </c>
      <c r="BY2" s="10" t="s">
        <v>304</v>
      </c>
      <c r="BZ2" s="10" t="s">
        <v>304</v>
      </c>
      <c r="CA2" s="10" t="s">
        <v>304</v>
      </c>
      <c r="CB2" s="10" t="s">
        <v>304</v>
      </c>
      <c r="CC2" s="10" t="s">
        <v>304</v>
      </c>
      <c r="CD2" s="10" t="s">
        <v>304</v>
      </c>
      <c r="CE2" s="10" t="s">
        <v>304</v>
      </c>
      <c r="CF2" s="10" t="s">
        <v>304</v>
      </c>
      <c r="CG2" s="10" t="s">
        <v>304</v>
      </c>
      <c r="CH2" s="10" t="s">
        <v>305</v>
      </c>
      <c r="CI2" s="10" t="s">
        <v>304</v>
      </c>
      <c r="CJ2" s="10"/>
      <c r="CK2" s="10"/>
      <c r="CL2" s="10"/>
    </row>
    <row r="3" spans="1:93" ht="30" customHeight="1" x14ac:dyDescent="0.25">
      <c r="A3" s="12" t="s">
        <v>87</v>
      </c>
      <c r="B3" s="12" t="s">
        <v>283</v>
      </c>
      <c r="C3" s="12" t="s">
        <v>306</v>
      </c>
      <c r="D3" s="12" t="s">
        <v>307</v>
      </c>
      <c r="E3" s="12" t="s">
        <v>308</v>
      </c>
      <c r="F3" s="12" t="s">
        <v>309</v>
      </c>
      <c r="G3" s="12" t="s">
        <v>310</v>
      </c>
      <c r="H3" s="12" t="s">
        <v>311</v>
      </c>
      <c r="I3" s="12" t="s">
        <v>312</v>
      </c>
      <c r="J3" s="12" t="s">
        <v>313</v>
      </c>
      <c r="K3" s="12" t="s">
        <v>314</v>
      </c>
      <c r="L3" s="12" t="s">
        <v>315</v>
      </c>
      <c r="M3" s="12" t="s">
        <v>316</v>
      </c>
      <c r="N3" s="12" t="s">
        <v>317</v>
      </c>
      <c r="O3" s="12" t="s">
        <v>318</v>
      </c>
      <c r="P3" s="12" t="s">
        <v>319</v>
      </c>
      <c r="Q3" s="12" t="s">
        <v>320</v>
      </c>
      <c r="R3" s="12" t="s">
        <v>321</v>
      </c>
      <c r="S3" s="12" t="s">
        <v>322</v>
      </c>
      <c r="T3" s="12" t="s">
        <v>323</v>
      </c>
      <c r="U3" s="12" t="s">
        <v>324</v>
      </c>
      <c r="V3" s="12" t="s">
        <v>325</v>
      </c>
      <c r="W3" s="12" t="s">
        <v>326</v>
      </c>
      <c r="X3" s="12" t="s">
        <v>327</v>
      </c>
      <c r="Y3" s="12" t="s">
        <v>328</v>
      </c>
      <c r="Z3" s="12" t="s">
        <v>329</v>
      </c>
      <c r="AA3" s="12" t="s">
        <v>330</v>
      </c>
      <c r="AB3" s="12" t="s">
        <v>331</v>
      </c>
      <c r="AC3" s="12" t="s">
        <v>332</v>
      </c>
      <c r="AD3" s="12" t="s">
        <v>333</v>
      </c>
      <c r="AE3" s="12" t="s">
        <v>334</v>
      </c>
      <c r="AF3" s="12" t="s">
        <v>335</v>
      </c>
      <c r="AG3" s="12" t="s">
        <v>336</v>
      </c>
      <c r="AH3" s="12" t="s">
        <v>337</v>
      </c>
      <c r="AI3" s="12" t="s">
        <v>338</v>
      </c>
      <c r="AJ3" s="12" t="s">
        <v>339</v>
      </c>
      <c r="AK3" s="12" t="s">
        <v>340</v>
      </c>
      <c r="AL3" s="12" t="s">
        <v>341</v>
      </c>
      <c r="AM3" s="12" t="s">
        <v>342</v>
      </c>
      <c r="AN3" s="12" t="s">
        <v>343</v>
      </c>
      <c r="AO3" s="12" t="s">
        <v>344</v>
      </c>
      <c r="AP3" s="12" t="s">
        <v>345</v>
      </c>
      <c r="AQ3" s="12" t="s">
        <v>346</v>
      </c>
      <c r="AR3" s="12" t="s">
        <v>347</v>
      </c>
      <c r="AS3" s="12" t="s">
        <v>348</v>
      </c>
      <c r="AT3" s="12" t="s">
        <v>349</v>
      </c>
      <c r="AU3" s="12" t="s">
        <v>350</v>
      </c>
      <c r="AV3" s="12" t="s">
        <v>351</v>
      </c>
      <c r="AW3" s="12" t="s">
        <v>352</v>
      </c>
      <c r="AX3" s="12" t="s">
        <v>353</v>
      </c>
      <c r="AY3" s="12" t="s">
        <v>354</v>
      </c>
      <c r="AZ3" s="12" t="s">
        <v>355</v>
      </c>
      <c r="BA3" s="12" t="s">
        <v>356</v>
      </c>
      <c r="BB3" s="12" t="s">
        <v>357</v>
      </c>
      <c r="BC3" s="12" t="s">
        <v>358</v>
      </c>
      <c r="BD3" s="12" t="s">
        <v>359</v>
      </c>
      <c r="BE3" s="12" t="s">
        <v>360</v>
      </c>
      <c r="BF3" s="12" t="s">
        <v>361</v>
      </c>
      <c r="BG3" s="12" t="s">
        <v>362</v>
      </c>
      <c r="BH3" s="12" t="s">
        <v>363</v>
      </c>
      <c r="BI3" s="12" t="s">
        <v>364</v>
      </c>
      <c r="BJ3" s="12" t="s">
        <v>365</v>
      </c>
      <c r="BK3" s="12" t="s">
        <v>366</v>
      </c>
      <c r="BL3" s="12" t="s">
        <v>367</v>
      </c>
      <c r="BM3" s="12" t="s">
        <v>368</v>
      </c>
      <c r="BN3" s="12" t="s">
        <v>369</v>
      </c>
      <c r="BO3" s="12" t="s">
        <v>370</v>
      </c>
      <c r="BP3" s="12" t="s">
        <v>371</v>
      </c>
      <c r="BQ3" s="12" t="s">
        <v>372</v>
      </c>
      <c r="BR3" s="12" t="s">
        <v>373</v>
      </c>
      <c r="BS3" s="12" t="s">
        <v>374</v>
      </c>
      <c r="BT3" s="12" t="s">
        <v>375</v>
      </c>
      <c r="BU3" s="12" t="s">
        <v>376</v>
      </c>
      <c r="BV3" s="12" t="s">
        <v>377</v>
      </c>
      <c r="BW3" s="12" t="s">
        <v>378</v>
      </c>
      <c r="BX3" s="12" t="s">
        <v>379</v>
      </c>
      <c r="BY3" s="12" t="s">
        <v>380</v>
      </c>
      <c r="BZ3" s="12" t="s">
        <v>381</v>
      </c>
      <c r="CA3" s="12" t="s">
        <v>382</v>
      </c>
      <c r="CB3" s="12" t="s">
        <v>383</v>
      </c>
      <c r="CC3" s="12" t="s">
        <v>384</v>
      </c>
      <c r="CD3" s="12" t="s">
        <v>385</v>
      </c>
      <c r="CE3" s="12" t="s">
        <v>386</v>
      </c>
      <c r="CF3" s="12" t="s">
        <v>387</v>
      </c>
      <c r="CG3" s="12" t="s">
        <v>388</v>
      </c>
      <c r="CH3" s="12" t="s">
        <v>389</v>
      </c>
      <c r="CI3" s="12" t="s">
        <v>390</v>
      </c>
      <c r="CJ3" s="12" t="s">
        <v>391</v>
      </c>
      <c r="CK3" s="12" t="s">
        <v>392</v>
      </c>
      <c r="CL3" s="12" t="s">
        <v>393</v>
      </c>
      <c r="CM3" s="22" t="s">
        <v>294</v>
      </c>
      <c r="CN3" s="22" t="s">
        <v>295</v>
      </c>
      <c r="CO3" s="22" t="s">
        <v>208</v>
      </c>
    </row>
    <row r="4" spans="1:93" ht="12" customHeight="1" x14ac:dyDescent="0.25">
      <c r="A4" s="14" t="s">
        <v>209</v>
      </c>
      <c r="B4" s="14" t="s">
        <v>209</v>
      </c>
      <c r="C4" s="14" t="s">
        <v>209</v>
      </c>
      <c r="D4" s="14" t="s">
        <v>209</v>
      </c>
      <c r="E4" s="15" t="s">
        <v>211</v>
      </c>
      <c r="F4" s="14" t="s">
        <v>209</v>
      </c>
      <c r="G4" s="14" t="s">
        <v>209</v>
      </c>
      <c r="H4" s="15" t="s">
        <v>211</v>
      </c>
      <c r="I4" s="15" t="s">
        <v>211</v>
      </c>
      <c r="J4" s="15" t="s">
        <v>211</v>
      </c>
      <c r="K4" s="15" t="s">
        <v>211</v>
      </c>
      <c r="L4" s="15" t="s">
        <v>211</v>
      </c>
      <c r="M4" s="15" t="s">
        <v>211</v>
      </c>
      <c r="N4" s="14" t="s">
        <v>210</v>
      </c>
      <c r="O4" s="14" t="s">
        <v>210</v>
      </c>
      <c r="P4" s="14" t="s">
        <v>210</v>
      </c>
      <c r="Q4" s="15" t="s">
        <v>211</v>
      </c>
      <c r="R4" s="15" t="s">
        <v>211</v>
      </c>
      <c r="S4" s="14" t="s">
        <v>210</v>
      </c>
      <c r="T4" s="14" t="s">
        <v>210</v>
      </c>
      <c r="U4" s="15" t="s">
        <v>211</v>
      </c>
      <c r="V4" s="15" t="s">
        <v>211</v>
      </c>
      <c r="W4" s="14" t="s">
        <v>209</v>
      </c>
      <c r="X4" s="14" t="s">
        <v>209</v>
      </c>
      <c r="Y4" s="15"/>
      <c r="Z4" s="14" t="s">
        <v>209</v>
      </c>
      <c r="AA4" s="14" t="s">
        <v>209</v>
      </c>
      <c r="AB4" s="14" t="s">
        <v>209</v>
      </c>
      <c r="AC4" s="14" t="s">
        <v>210</v>
      </c>
      <c r="AD4" s="14" t="s">
        <v>210</v>
      </c>
      <c r="AE4" s="14" t="s">
        <v>210</v>
      </c>
      <c r="AF4" s="15"/>
      <c r="AG4" s="15"/>
      <c r="AH4" s="14" t="s">
        <v>209</v>
      </c>
      <c r="AI4" s="14" t="s">
        <v>210</v>
      </c>
      <c r="AJ4" s="14" t="s">
        <v>210</v>
      </c>
      <c r="AK4" s="14" t="s">
        <v>210</v>
      </c>
      <c r="AL4" s="14" t="s">
        <v>210</v>
      </c>
      <c r="AM4" s="14" t="s">
        <v>210</v>
      </c>
      <c r="AN4" s="14" t="s">
        <v>210</v>
      </c>
      <c r="AO4" s="14" t="s">
        <v>210</v>
      </c>
      <c r="AP4" s="14" t="s">
        <v>210</v>
      </c>
      <c r="AQ4" s="14" t="s">
        <v>210</v>
      </c>
      <c r="AR4" s="14" t="s">
        <v>209</v>
      </c>
      <c r="AS4" s="14" t="s">
        <v>209</v>
      </c>
      <c r="AT4" s="14" t="s">
        <v>210</v>
      </c>
      <c r="AU4" s="14" t="s">
        <v>209</v>
      </c>
      <c r="AV4" s="15" t="s">
        <v>211</v>
      </c>
      <c r="AW4" s="15" t="s">
        <v>211</v>
      </c>
      <c r="AX4" s="14" t="s">
        <v>209</v>
      </c>
      <c r="AY4" s="14" t="s">
        <v>210</v>
      </c>
      <c r="AZ4" s="14" t="s">
        <v>209</v>
      </c>
      <c r="BA4" s="14" t="s">
        <v>209</v>
      </c>
      <c r="BB4" s="14" t="s">
        <v>209</v>
      </c>
      <c r="BC4" s="14" t="s">
        <v>209</v>
      </c>
      <c r="BD4" s="14" t="s">
        <v>209</v>
      </c>
      <c r="BE4" s="14" t="s">
        <v>210</v>
      </c>
      <c r="BF4" s="15" t="s">
        <v>211</v>
      </c>
      <c r="BG4" s="15" t="s">
        <v>211</v>
      </c>
      <c r="BH4" s="14" t="s">
        <v>209</v>
      </c>
      <c r="BI4" s="14" t="s">
        <v>210</v>
      </c>
      <c r="BJ4" s="15"/>
      <c r="BK4" s="14" t="s">
        <v>209</v>
      </c>
      <c r="BL4" s="14" t="s">
        <v>210</v>
      </c>
      <c r="BM4" s="14" t="s">
        <v>210</v>
      </c>
      <c r="BN4" s="14" t="s">
        <v>210</v>
      </c>
      <c r="BO4" s="14" t="s">
        <v>210</v>
      </c>
      <c r="BP4" s="14" t="s">
        <v>210</v>
      </c>
      <c r="BQ4" s="14" t="s">
        <v>210</v>
      </c>
      <c r="BR4" s="14" t="s">
        <v>210</v>
      </c>
      <c r="BS4" s="14" t="s">
        <v>210</v>
      </c>
      <c r="BT4" s="15"/>
      <c r="BU4" s="15"/>
      <c r="BV4" s="15" t="s">
        <v>211</v>
      </c>
      <c r="BW4" s="14" t="s">
        <v>209</v>
      </c>
      <c r="BX4" s="14" t="s">
        <v>209</v>
      </c>
      <c r="BY4" s="14" t="s">
        <v>209</v>
      </c>
      <c r="BZ4" s="14" t="s">
        <v>209</v>
      </c>
      <c r="CA4" s="14" t="s">
        <v>209</v>
      </c>
      <c r="CB4" s="14" t="s">
        <v>209</v>
      </c>
      <c r="CC4" s="14" t="s">
        <v>209</v>
      </c>
      <c r="CD4" s="14" t="s">
        <v>209</v>
      </c>
      <c r="CE4" s="14" t="s">
        <v>209</v>
      </c>
      <c r="CF4" s="14" t="s">
        <v>209</v>
      </c>
      <c r="CG4" s="14" t="s">
        <v>210</v>
      </c>
      <c r="CH4" s="15" t="s">
        <v>211</v>
      </c>
      <c r="CI4" s="14" t="s">
        <v>210</v>
      </c>
      <c r="CJ4" s="15"/>
      <c r="CK4" s="15"/>
      <c r="CL4" s="15"/>
    </row>
    <row r="5" spans="1:93" ht="12" customHeight="1" x14ac:dyDescent="0.25">
      <c r="A5" s="16" t="s">
        <v>213</v>
      </c>
      <c r="B5" s="16" t="s">
        <v>214</v>
      </c>
      <c r="C5" s="16" t="s">
        <v>213</v>
      </c>
      <c r="D5" s="16" t="s">
        <v>213</v>
      </c>
      <c r="E5" s="16" t="s">
        <v>394</v>
      </c>
      <c r="F5" s="16" t="s">
        <v>395</v>
      </c>
      <c r="G5" s="16" t="s">
        <v>221</v>
      </c>
      <c r="H5" s="16" t="s">
        <v>221</v>
      </c>
      <c r="I5" s="16" t="s">
        <v>221</v>
      </c>
      <c r="J5" s="16" t="s">
        <v>395</v>
      </c>
      <c r="K5" s="16" t="s">
        <v>221</v>
      </c>
      <c r="L5" s="16" t="s">
        <v>221</v>
      </c>
      <c r="M5" s="16" t="s">
        <v>221</v>
      </c>
      <c r="N5" s="16" t="s">
        <v>213</v>
      </c>
      <c r="O5" s="16" t="s">
        <v>395</v>
      </c>
      <c r="P5" s="16" t="s">
        <v>221</v>
      </c>
      <c r="Q5" s="16" t="s">
        <v>221</v>
      </c>
      <c r="R5" s="16" t="s">
        <v>221</v>
      </c>
      <c r="S5" s="16" t="s">
        <v>395</v>
      </c>
      <c r="T5" s="16" t="s">
        <v>221</v>
      </c>
      <c r="U5" s="16" t="s">
        <v>221</v>
      </c>
      <c r="V5" s="16" t="s">
        <v>221</v>
      </c>
      <c r="W5" s="16" t="s">
        <v>224</v>
      </c>
      <c r="X5" s="16" t="s">
        <v>223</v>
      </c>
      <c r="Y5" s="16"/>
      <c r="Z5" s="16" t="s">
        <v>225</v>
      </c>
      <c r="AA5" s="16" t="s">
        <v>213</v>
      </c>
      <c r="AB5" s="16" t="s">
        <v>227</v>
      </c>
      <c r="AC5" s="16" t="s">
        <v>228</v>
      </c>
      <c r="AD5" s="16" t="s">
        <v>229</v>
      </c>
      <c r="AE5" s="16" t="s">
        <v>230</v>
      </c>
      <c r="AF5" s="16"/>
      <c r="AG5" s="16"/>
      <c r="AH5" s="16" t="s">
        <v>226</v>
      </c>
      <c r="AI5" s="16" t="s">
        <v>396</v>
      </c>
      <c r="AJ5" s="16" t="s">
        <v>218</v>
      </c>
      <c r="AK5" s="16" t="s">
        <v>218</v>
      </c>
      <c r="AL5" s="16" t="s">
        <v>218</v>
      </c>
      <c r="AM5" s="16" t="s">
        <v>218</v>
      </c>
      <c r="AN5" s="16" t="s">
        <v>218</v>
      </c>
      <c r="AO5" s="16" t="s">
        <v>218</v>
      </c>
      <c r="AP5" s="16" t="s">
        <v>397</v>
      </c>
      <c r="AQ5" s="16" t="s">
        <v>397</v>
      </c>
      <c r="AR5" s="16" t="s">
        <v>232</v>
      </c>
      <c r="AS5" s="16" t="s">
        <v>232</v>
      </c>
      <c r="AT5" s="16" t="s">
        <v>232</v>
      </c>
      <c r="AU5" s="16" t="s">
        <v>236</v>
      </c>
      <c r="AV5" s="16" t="s">
        <v>236</v>
      </c>
      <c r="AW5" s="16" t="s">
        <v>236</v>
      </c>
      <c r="AX5" s="16" t="s">
        <v>232</v>
      </c>
      <c r="AY5" s="16" t="s">
        <v>221</v>
      </c>
      <c r="AZ5" s="16" t="s">
        <v>215</v>
      </c>
      <c r="BA5" s="16" t="s">
        <v>225</v>
      </c>
      <c r="BB5" s="16" t="s">
        <v>225</v>
      </c>
      <c r="BC5" s="16" t="s">
        <v>234</v>
      </c>
      <c r="BD5" s="16" t="s">
        <v>223</v>
      </c>
      <c r="BE5" s="16" t="s">
        <v>236</v>
      </c>
      <c r="BF5" s="16" t="s">
        <v>236</v>
      </c>
      <c r="BG5" s="16" t="s">
        <v>236</v>
      </c>
      <c r="BH5" s="16" t="s">
        <v>232</v>
      </c>
      <c r="BI5" s="16" t="s">
        <v>221</v>
      </c>
      <c r="BJ5" s="16" t="s">
        <v>225</v>
      </c>
      <c r="BK5" s="16" t="s">
        <v>234</v>
      </c>
      <c r="BL5" s="16" t="s">
        <v>233</v>
      </c>
      <c r="BM5" s="16" t="s">
        <v>225</v>
      </c>
      <c r="BN5" s="16" t="s">
        <v>237</v>
      </c>
      <c r="BO5" s="16" t="s">
        <v>215</v>
      </c>
      <c r="BP5" s="16" t="s">
        <v>237</v>
      </c>
      <c r="BQ5" s="16" t="s">
        <v>215</v>
      </c>
      <c r="BR5" s="16" t="s">
        <v>229</v>
      </c>
      <c r="BS5" s="16" t="s">
        <v>216</v>
      </c>
      <c r="BT5" s="16"/>
      <c r="BU5" s="16"/>
      <c r="BV5" s="16" t="s">
        <v>238</v>
      </c>
      <c r="BW5" s="16" t="s">
        <v>224</v>
      </c>
      <c r="BX5" s="16" t="s">
        <v>221</v>
      </c>
      <c r="BY5" s="16" t="s">
        <v>224</v>
      </c>
      <c r="BZ5" s="16" t="s">
        <v>225</v>
      </c>
      <c r="CA5" s="16" t="s">
        <v>222</v>
      </c>
      <c r="CB5" s="16" t="s">
        <v>221</v>
      </c>
      <c r="CC5" s="16" t="s">
        <v>221</v>
      </c>
      <c r="CD5" s="16" t="s">
        <v>221</v>
      </c>
      <c r="CE5" s="16" t="s">
        <v>222</v>
      </c>
      <c r="CF5" s="16" t="s">
        <v>398</v>
      </c>
      <c r="CG5" s="16" t="s">
        <v>399</v>
      </c>
      <c r="CH5" s="16" t="s">
        <v>239</v>
      </c>
      <c r="CI5" s="16" t="s">
        <v>222</v>
      </c>
      <c r="CJ5" s="16"/>
      <c r="CK5" s="16"/>
      <c r="CL5" s="16"/>
    </row>
    <row r="6" spans="1:93" ht="13.5" customHeight="1" x14ac:dyDescent="0.25">
      <c r="A6" s="5" t="s">
        <v>400</v>
      </c>
      <c r="B6" s="18">
        <v>1</v>
      </c>
      <c r="C6" s="18">
        <v>1</v>
      </c>
      <c r="D6" s="18" t="s">
        <v>62</v>
      </c>
      <c r="E6" s="18"/>
      <c r="F6" s="18"/>
      <c r="G6" s="18"/>
      <c r="H6" s="18"/>
      <c r="I6" s="18"/>
      <c r="J6" s="18"/>
      <c r="K6" s="18"/>
      <c r="L6" s="18"/>
      <c r="M6" s="18"/>
      <c r="N6" s="18"/>
      <c r="O6" s="18"/>
      <c r="P6" s="18"/>
      <c r="Q6" s="18"/>
      <c r="R6" s="18"/>
      <c r="S6" s="18"/>
      <c r="T6" s="18"/>
      <c r="U6" s="18"/>
      <c r="V6" s="18"/>
      <c r="W6" s="20"/>
      <c r="X6" s="18"/>
      <c r="Y6" s="19"/>
      <c r="Z6" s="18"/>
      <c r="AA6" s="18"/>
      <c r="AB6" s="18"/>
      <c r="AC6" s="18"/>
      <c r="AD6" s="18"/>
      <c r="AE6" s="18"/>
      <c r="AF6" s="19"/>
      <c r="AG6" s="19"/>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9"/>
      <c r="BU6" s="19"/>
      <c r="BV6" s="18"/>
      <c r="BW6" s="20"/>
      <c r="BX6" s="18"/>
      <c r="BY6" s="20"/>
      <c r="BZ6" s="18"/>
      <c r="CA6" s="18"/>
      <c r="CB6" s="18"/>
      <c r="CC6" s="18"/>
      <c r="CD6" s="18"/>
      <c r="CE6" s="18"/>
      <c r="CF6" s="18"/>
      <c r="CG6" s="18"/>
      <c r="CH6" s="18"/>
      <c r="CI6" s="18"/>
      <c r="CJ6" s="18"/>
      <c r="CK6" s="18"/>
      <c r="CL6" s="18"/>
      <c r="CM6" s="1">
        <f>IF(B6="","",COUNTIF($B$6:B6,B6))</f>
        <v>1</v>
      </c>
      <c r="CN6" s="1" t="str">
        <f t="shared" ref="CN6:CN26" si="0">IF(B6="","",B6&amp;"-"&amp;CM6)</f>
        <v>1-1</v>
      </c>
      <c r="CO6" s="1" t="str">
        <f t="shared" ref="CO6:CO26" si="1">IF(B6="","",_xlfn.TEXTJOIN("|",FALSE(),A6:CL6))</f>
        <v>40|1|1|01||||||||||||||||||||||||||||||||||||||||||||||||||||||||||||||||||||||||||||||||||||||</v>
      </c>
    </row>
    <row r="7" spans="1:93" ht="13.5" customHeight="1" x14ac:dyDescent="0.25">
      <c r="A7" s="5" t="s">
        <v>400</v>
      </c>
      <c r="B7" s="23"/>
      <c r="C7" s="6"/>
      <c r="D7" s="6"/>
      <c r="E7" s="6"/>
      <c r="F7" s="6"/>
      <c r="G7" s="6"/>
      <c r="H7" s="6"/>
      <c r="I7" s="6"/>
      <c r="J7" s="6"/>
      <c r="K7" s="6"/>
      <c r="L7" s="6"/>
      <c r="M7" s="6"/>
      <c r="N7" s="6"/>
      <c r="O7" s="6"/>
      <c r="P7" s="6"/>
      <c r="Q7" s="6"/>
      <c r="R7" s="6"/>
      <c r="S7" s="6"/>
      <c r="T7" s="6"/>
      <c r="U7" s="6"/>
      <c r="V7" s="6"/>
      <c r="W7" s="21"/>
      <c r="X7" s="6"/>
      <c r="Y7" s="19"/>
      <c r="Z7" s="6"/>
      <c r="AA7" s="6"/>
      <c r="AB7" s="6"/>
      <c r="AC7" s="6"/>
      <c r="AD7" s="6"/>
      <c r="AE7" s="6"/>
      <c r="AF7" s="19"/>
      <c r="AG7" s="19"/>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19"/>
      <c r="BU7" s="19"/>
      <c r="BV7" s="6"/>
      <c r="BW7" s="21"/>
      <c r="BX7" s="6"/>
      <c r="BY7" s="21"/>
      <c r="BZ7" s="6"/>
      <c r="CA7" s="6"/>
      <c r="CB7" s="6"/>
      <c r="CC7" s="6"/>
      <c r="CD7" s="6"/>
      <c r="CE7" s="6"/>
      <c r="CF7" s="6"/>
      <c r="CG7" s="6"/>
      <c r="CH7" s="6"/>
      <c r="CI7" s="6"/>
      <c r="CJ7" s="6"/>
      <c r="CK7" s="6"/>
      <c r="CL7" s="6"/>
      <c r="CM7" s="1" t="str">
        <f>IF(B7="","",COUNTIF($B$6:B7,B7))</f>
        <v/>
      </c>
      <c r="CN7" s="1" t="str">
        <f t="shared" si="0"/>
        <v/>
      </c>
      <c r="CO7" s="1" t="str">
        <f t="shared" si="1"/>
        <v/>
      </c>
    </row>
    <row r="8" spans="1:93" ht="13.5" customHeight="1" x14ac:dyDescent="0.25">
      <c r="A8" s="5" t="s">
        <v>400</v>
      </c>
      <c r="B8" s="23"/>
      <c r="C8" s="6"/>
      <c r="D8" s="6"/>
      <c r="E8" s="6"/>
      <c r="F8" s="6"/>
      <c r="G8" s="6"/>
      <c r="H8" s="6"/>
      <c r="I8" s="6"/>
      <c r="J8" s="6"/>
      <c r="K8" s="6"/>
      <c r="L8" s="6"/>
      <c r="M8" s="6"/>
      <c r="N8" s="6"/>
      <c r="O8" s="6"/>
      <c r="P8" s="6"/>
      <c r="Q8" s="6"/>
      <c r="R8" s="6"/>
      <c r="S8" s="6"/>
      <c r="T8" s="6"/>
      <c r="U8" s="6"/>
      <c r="V8" s="6"/>
      <c r="W8" s="21"/>
      <c r="X8" s="6"/>
      <c r="Y8" s="19"/>
      <c r="Z8" s="6"/>
      <c r="AA8" s="6"/>
      <c r="AB8" s="6"/>
      <c r="AC8" s="6"/>
      <c r="AD8" s="6"/>
      <c r="AE8" s="6"/>
      <c r="AF8" s="19"/>
      <c r="AG8" s="19"/>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19"/>
      <c r="BU8" s="19"/>
      <c r="BV8" s="6"/>
      <c r="BW8" s="21"/>
      <c r="BX8" s="6"/>
      <c r="BY8" s="21"/>
      <c r="BZ8" s="6"/>
      <c r="CA8" s="6"/>
      <c r="CB8" s="6"/>
      <c r="CC8" s="6"/>
      <c r="CD8" s="6"/>
      <c r="CE8" s="6"/>
      <c r="CF8" s="6"/>
      <c r="CG8" s="6"/>
      <c r="CH8" s="6"/>
      <c r="CI8" s="6"/>
      <c r="CJ8" s="6"/>
      <c r="CK8" s="6"/>
      <c r="CL8" s="6"/>
      <c r="CM8" s="1" t="str">
        <f>IF(B8="","",COUNTIF($B$6:B8,B8))</f>
        <v/>
      </c>
      <c r="CN8" s="1" t="str">
        <f t="shared" si="0"/>
        <v/>
      </c>
      <c r="CO8" s="1" t="str">
        <f t="shared" si="1"/>
        <v/>
      </c>
    </row>
    <row r="9" spans="1:93" ht="13.5" customHeight="1" x14ac:dyDescent="0.25">
      <c r="A9" s="5" t="s">
        <v>400</v>
      </c>
      <c r="B9" s="23"/>
      <c r="C9" s="6"/>
      <c r="D9" s="6"/>
      <c r="E9" s="6"/>
      <c r="F9" s="6"/>
      <c r="G9" s="6"/>
      <c r="H9" s="6"/>
      <c r="I9" s="6"/>
      <c r="J9" s="6"/>
      <c r="K9" s="6"/>
      <c r="L9" s="6"/>
      <c r="M9" s="6"/>
      <c r="N9" s="6"/>
      <c r="O9" s="6"/>
      <c r="P9" s="6"/>
      <c r="Q9" s="6"/>
      <c r="R9" s="6"/>
      <c r="S9" s="6"/>
      <c r="T9" s="6"/>
      <c r="U9" s="6"/>
      <c r="V9" s="6"/>
      <c r="W9" s="21"/>
      <c r="X9" s="6"/>
      <c r="Y9" s="19"/>
      <c r="Z9" s="6"/>
      <c r="AA9" s="6"/>
      <c r="AB9" s="6"/>
      <c r="AC9" s="6"/>
      <c r="AD9" s="6"/>
      <c r="AE9" s="6"/>
      <c r="AF9" s="19"/>
      <c r="AG9" s="19"/>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19"/>
      <c r="BU9" s="19"/>
      <c r="BV9" s="6"/>
      <c r="BW9" s="21"/>
      <c r="BX9" s="6"/>
      <c r="BY9" s="21"/>
      <c r="BZ9" s="6"/>
      <c r="CA9" s="6"/>
      <c r="CB9" s="6"/>
      <c r="CC9" s="6"/>
      <c r="CD9" s="6"/>
      <c r="CE9" s="6"/>
      <c r="CF9" s="6"/>
      <c r="CG9" s="6"/>
      <c r="CH9" s="6"/>
      <c r="CI9" s="6"/>
      <c r="CJ9" s="6"/>
      <c r="CK9" s="6"/>
      <c r="CL9" s="6"/>
      <c r="CM9" s="1" t="str">
        <f>IF(B9="","",COUNTIF($B$6:B9,B9))</f>
        <v/>
      </c>
      <c r="CN9" s="1" t="str">
        <f t="shared" si="0"/>
        <v/>
      </c>
      <c r="CO9" s="1" t="str">
        <f t="shared" si="1"/>
        <v/>
      </c>
    </row>
    <row r="10" spans="1:93" ht="13.5" customHeight="1" x14ac:dyDescent="0.25">
      <c r="A10" s="5" t="s">
        <v>400</v>
      </c>
      <c r="B10" s="23"/>
      <c r="C10" s="6"/>
      <c r="D10" s="6"/>
      <c r="E10" s="6"/>
      <c r="F10" s="6"/>
      <c r="G10" s="6"/>
      <c r="H10" s="6"/>
      <c r="I10" s="6"/>
      <c r="J10" s="6"/>
      <c r="K10" s="6"/>
      <c r="L10" s="6"/>
      <c r="M10" s="6"/>
      <c r="N10" s="6"/>
      <c r="O10" s="6"/>
      <c r="P10" s="6"/>
      <c r="Q10" s="6"/>
      <c r="R10" s="6"/>
      <c r="S10" s="6"/>
      <c r="T10" s="6"/>
      <c r="U10" s="6"/>
      <c r="V10" s="6"/>
      <c r="W10" s="21"/>
      <c r="X10" s="6"/>
      <c r="Y10" s="19"/>
      <c r="Z10" s="6"/>
      <c r="AA10" s="6"/>
      <c r="AB10" s="6"/>
      <c r="AC10" s="6"/>
      <c r="AD10" s="6"/>
      <c r="AE10" s="6"/>
      <c r="AF10" s="19"/>
      <c r="AG10" s="19"/>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19"/>
      <c r="BU10" s="19"/>
      <c r="BV10" s="6"/>
      <c r="BW10" s="21"/>
      <c r="BX10" s="6"/>
      <c r="BY10" s="21"/>
      <c r="BZ10" s="6"/>
      <c r="CA10" s="6"/>
      <c r="CB10" s="6"/>
      <c r="CC10" s="6"/>
      <c r="CD10" s="6"/>
      <c r="CE10" s="6"/>
      <c r="CF10" s="6"/>
      <c r="CG10" s="6"/>
      <c r="CH10" s="6"/>
      <c r="CI10" s="6"/>
      <c r="CJ10" s="6"/>
      <c r="CK10" s="6"/>
      <c r="CL10" s="6"/>
      <c r="CM10" s="1" t="str">
        <f>IF(B10="","",COUNTIF($B$6:B10,B10))</f>
        <v/>
      </c>
      <c r="CN10" s="1" t="str">
        <f t="shared" si="0"/>
        <v/>
      </c>
      <c r="CO10" s="1" t="str">
        <f t="shared" si="1"/>
        <v/>
      </c>
    </row>
    <row r="11" spans="1:93" ht="13.5" customHeight="1" x14ac:dyDescent="0.25">
      <c r="A11" s="5" t="s">
        <v>400</v>
      </c>
      <c r="B11" s="23"/>
      <c r="C11" s="6"/>
      <c r="D11" s="6"/>
      <c r="E11" s="6"/>
      <c r="F11" s="6"/>
      <c r="G11" s="6"/>
      <c r="H11" s="6"/>
      <c r="I11" s="6"/>
      <c r="J11" s="6"/>
      <c r="K11" s="6"/>
      <c r="L11" s="6"/>
      <c r="M11" s="6"/>
      <c r="N11" s="6"/>
      <c r="O11" s="6"/>
      <c r="P11" s="6"/>
      <c r="Q11" s="6"/>
      <c r="R11" s="6"/>
      <c r="S11" s="6"/>
      <c r="T11" s="6"/>
      <c r="U11" s="6"/>
      <c r="V11" s="6"/>
      <c r="W11" s="21"/>
      <c r="X11" s="6"/>
      <c r="Y11" s="19"/>
      <c r="Z11" s="6"/>
      <c r="AA11" s="6"/>
      <c r="AB11" s="6"/>
      <c r="AC11" s="6"/>
      <c r="AD11" s="6"/>
      <c r="AE11" s="6"/>
      <c r="AF11" s="19"/>
      <c r="AG11" s="19"/>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19"/>
      <c r="BU11" s="19"/>
      <c r="BV11" s="6"/>
      <c r="BW11" s="21"/>
      <c r="BX11" s="6"/>
      <c r="BY11" s="21"/>
      <c r="BZ11" s="6"/>
      <c r="CA11" s="6"/>
      <c r="CB11" s="6"/>
      <c r="CC11" s="6"/>
      <c r="CD11" s="6"/>
      <c r="CE11" s="6"/>
      <c r="CF11" s="6"/>
      <c r="CG11" s="6"/>
      <c r="CH11" s="6"/>
      <c r="CI11" s="6"/>
      <c r="CJ11" s="6"/>
      <c r="CK11" s="6"/>
      <c r="CL11" s="6"/>
      <c r="CM11" s="1" t="str">
        <f>IF(B11="","",COUNTIF($B$6:B11,B11))</f>
        <v/>
      </c>
      <c r="CN11" s="1" t="str">
        <f t="shared" si="0"/>
        <v/>
      </c>
      <c r="CO11" s="1" t="str">
        <f t="shared" si="1"/>
        <v/>
      </c>
    </row>
    <row r="12" spans="1:93" ht="13.5" customHeight="1" x14ac:dyDescent="0.25">
      <c r="A12" s="5" t="s">
        <v>400</v>
      </c>
      <c r="B12" s="23"/>
      <c r="C12" s="6"/>
      <c r="D12" s="6"/>
      <c r="E12" s="6"/>
      <c r="F12" s="6"/>
      <c r="G12" s="6"/>
      <c r="H12" s="6"/>
      <c r="I12" s="6"/>
      <c r="J12" s="6"/>
      <c r="K12" s="6"/>
      <c r="L12" s="6"/>
      <c r="M12" s="6"/>
      <c r="N12" s="6"/>
      <c r="O12" s="6"/>
      <c r="P12" s="6"/>
      <c r="Q12" s="6"/>
      <c r="R12" s="6"/>
      <c r="S12" s="6"/>
      <c r="T12" s="6"/>
      <c r="U12" s="6"/>
      <c r="V12" s="6"/>
      <c r="W12" s="21"/>
      <c r="X12" s="6"/>
      <c r="Y12" s="19"/>
      <c r="Z12" s="6"/>
      <c r="AA12" s="6"/>
      <c r="AB12" s="6"/>
      <c r="AC12" s="6"/>
      <c r="AD12" s="6"/>
      <c r="AE12" s="6"/>
      <c r="AF12" s="19"/>
      <c r="AG12" s="19"/>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19"/>
      <c r="BU12" s="19"/>
      <c r="BV12" s="6"/>
      <c r="BW12" s="21"/>
      <c r="BX12" s="6"/>
      <c r="BY12" s="21"/>
      <c r="BZ12" s="6"/>
      <c r="CA12" s="6"/>
      <c r="CB12" s="6"/>
      <c r="CC12" s="6"/>
      <c r="CD12" s="6"/>
      <c r="CE12" s="6"/>
      <c r="CF12" s="6"/>
      <c r="CG12" s="6"/>
      <c r="CH12" s="6"/>
      <c r="CI12" s="6"/>
      <c r="CJ12" s="6"/>
      <c r="CK12" s="6"/>
      <c r="CL12" s="6"/>
      <c r="CM12" s="1" t="str">
        <f>IF(B12="","",COUNTIF($B$6:B12,B12))</f>
        <v/>
      </c>
      <c r="CN12" s="1" t="str">
        <f t="shared" si="0"/>
        <v/>
      </c>
      <c r="CO12" s="1" t="str">
        <f t="shared" si="1"/>
        <v/>
      </c>
    </row>
    <row r="13" spans="1:93" ht="13.5" customHeight="1" x14ac:dyDescent="0.25">
      <c r="A13" s="5" t="s">
        <v>400</v>
      </c>
      <c r="B13" s="23"/>
      <c r="C13" s="6"/>
      <c r="D13" s="6"/>
      <c r="E13" s="6"/>
      <c r="F13" s="6"/>
      <c r="G13" s="6"/>
      <c r="H13" s="6"/>
      <c r="I13" s="6"/>
      <c r="J13" s="6"/>
      <c r="K13" s="6"/>
      <c r="L13" s="6"/>
      <c r="M13" s="6"/>
      <c r="N13" s="6"/>
      <c r="O13" s="6"/>
      <c r="P13" s="6"/>
      <c r="Q13" s="6"/>
      <c r="R13" s="6"/>
      <c r="S13" s="6"/>
      <c r="T13" s="6"/>
      <c r="U13" s="6"/>
      <c r="V13" s="6"/>
      <c r="W13" s="21"/>
      <c r="X13" s="6"/>
      <c r="Y13" s="19"/>
      <c r="Z13" s="6"/>
      <c r="AA13" s="6"/>
      <c r="AB13" s="6"/>
      <c r="AC13" s="6"/>
      <c r="AD13" s="6"/>
      <c r="AE13" s="6"/>
      <c r="AF13" s="19"/>
      <c r="AG13" s="19"/>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19"/>
      <c r="BU13" s="19"/>
      <c r="BV13" s="6"/>
      <c r="BW13" s="21"/>
      <c r="BX13" s="6"/>
      <c r="BY13" s="21"/>
      <c r="BZ13" s="6"/>
      <c r="CA13" s="6"/>
      <c r="CB13" s="6"/>
      <c r="CC13" s="6"/>
      <c r="CD13" s="6"/>
      <c r="CE13" s="6"/>
      <c r="CF13" s="6"/>
      <c r="CG13" s="6"/>
      <c r="CH13" s="6"/>
      <c r="CI13" s="6"/>
      <c r="CJ13" s="6"/>
      <c r="CK13" s="6"/>
      <c r="CL13" s="6"/>
      <c r="CM13" s="1" t="str">
        <f>IF(B13="","",COUNTIF($B$6:B13,B13))</f>
        <v/>
      </c>
      <c r="CN13" s="1" t="str">
        <f t="shared" si="0"/>
        <v/>
      </c>
      <c r="CO13" s="1" t="str">
        <f t="shared" si="1"/>
        <v/>
      </c>
    </row>
    <row r="14" spans="1:93" ht="13.5" customHeight="1" x14ac:dyDescent="0.25">
      <c r="A14" s="5" t="s">
        <v>400</v>
      </c>
      <c r="B14" s="23"/>
      <c r="C14" s="6"/>
      <c r="D14" s="6"/>
      <c r="E14" s="6"/>
      <c r="F14" s="6"/>
      <c r="G14" s="6"/>
      <c r="H14" s="6"/>
      <c r="I14" s="6"/>
      <c r="J14" s="6"/>
      <c r="K14" s="6"/>
      <c r="L14" s="6"/>
      <c r="M14" s="6"/>
      <c r="N14" s="6"/>
      <c r="O14" s="6"/>
      <c r="P14" s="6"/>
      <c r="Q14" s="6"/>
      <c r="R14" s="6"/>
      <c r="S14" s="6"/>
      <c r="T14" s="6"/>
      <c r="U14" s="6"/>
      <c r="V14" s="6"/>
      <c r="W14" s="21"/>
      <c r="X14" s="6"/>
      <c r="Y14" s="19"/>
      <c r="Z14" s="6"/>
      <c r="AA14" s="6"/>
      <c r="AB14" s="6"/>
      <c r="AC14" s="6"/>
      <c r="AD14" s="6"/>
      <c r="AE14" s="6"/>
      <c r="AF14" s="19"/>
      <c r="AG14" s="19"/>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19"/>
      <c r="BU14" s="19"/>
      <c r="BV14" s="6"/>
      <c r="BW14" s="21"/>
      <c r="BX14" s="6"/>
      <c r="BY14" s="21"/>
      <c r="BZ14" s="6"/>
      <c r="CA14" s="6"/>
      <c r="CB14" s="6"/>
      <c r="CC14" s="6"/>
      <c r="CD14" s="6"/>
      <c r="CE14" s="6"/>
      <c r="CF14" s="6"/>
      <c r="CG14" s="6"/>
      <c r="CH14" s="6"/>
      <c r="CI14" s="6"/>
      <c r="CJ14" s="6"/>
      <c r="CK14" s="6"/>
      <c r="CL14" s="6"/>
      <c r="CM14" s="1" t="str">
        <f>IF(B14="","",COUNTIF($B$6:B14,B14))</f>
        <v/>
      </c>
      <c r="CN14" s="1" t="str">
        <f t="shared" si="0"/>
        <v/>
      </c>
      <c r="CO14" s="1" t="str">
        <f t="shared" si="1"/>
        <v/>
      </c>
    </row>
    <row r="15" spans="1:93" ht="13.5" customHeight="1" x14ac:dyDescent="0.25">
      <c r="A15" s="5" t="s">
        <v>400</v>
      </c>
      <c r="B15" s="23"/>
      <c r="C15" s="6"/>
      <c r="D15" s="6"/>
      <c r="E15" s="6"/>
      <c r="F15" s="6"/>
      <c r="G15" s="6"/>
      <c r="H15" s="6"/>
      <c r="I15" s="6"/>
      <c r="J15" s="6"/>
      <c r="K15" s="6"/>
      <c r="L15" s="6"/>
      <c r="M15" s="6"/>
      <c r="N15" s="6"/>
      <c r="O15" s="6"/>
      <c r="P15" s="6"/>
      <c r="Q15" s="6"/>
      <c r="R15" s="6"/>
      <c r="S15" s="6"/>
      <c r="T15" s="6"/>
      <c r="U15" s="6"/>
      <c r="V15" s="6"/>
      <c r="W15" s="21"/>
      <c r="X15" s="6"/>
      <c r="Y15" s="19"/>
      <c r="Z15" s="6"/>
      <c r="AA15" s="6"/>
      <c r="AB15" s="6"/>
      <c r="AC15" s="6"/>
      <c r="AD15" s="6"/>
      <c r="AE15" s="6"/>
      <c r="AF15" s="19"/>
      <c r="AG15" s="19"/>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19"/>
      <c r="BU15" s="19"/>
      <c r="BV15" s="6"/>
      <c r="BW15" s="21"/>
      <c r="BX15" s="6"/>
      <c r="BY15" s="21"/>
      <c r="BZ15" s="6"/>
      <c r="CA15" s="6"/>
      <c r="CB15" s="6"/>
      <c r="CC15" s="6"/>
      <c r="CD15" s="6"/>
      <c r="CE15" s="6"/>
      <c r="CF15" s="6"/>
      <c r="CG15" s="6"/>
      <c r="CH15" s="6"/>
      <c r="CI15" s="6"/>
      <c r="CJ15" s="6"/>
      <c r="CK15" s="6"/>
      <c r="CL15" s="6"/>
      <c r="CM15" s="1" t="str">
        <f>IF(B15="","",COUNTIF($B$6:B15,B15))</f>
        <v/>
      </c>
      <c r="CN15" s="1" t="str">
        <f t="shared" si="0"/>
        <v/>
      </c>
      <c r="CO15" s="1" t="str">
        <f t="shared" si="1"/>
        <v/>
      </c>
    </row>
    <row r="16" spans="1:93" ht="13.5" customHeight="1" x14ac:dyDescent="0.25">
      <c r="A16" s="5" t="s">
        <v>400</v>
      </c>
      <c r="B16" s="23"/>
      <c r="C16" s="6"/>
      <c r="D16" s="6"/>
      <c r="E16" s="6"/>
      <c r="F16" s="6"/>
      <c r="G16" s="6"/>
      <c r="H16" s="6"/>
      <c r="I16" s="6"/>
      <c r="J16" s="6"/>
      <c r="K16" s="6"/>
      <c r="L16" s="6"/>
      <c r="M16" s="6"/>
      <c r="N16" s="6"/>
      <c r="O16" s="6"/>
      <c r="P16" s="6"/>
      <c r="Q16" s="6"/>
      <c r="R16" s="6"/>
      <c r="S16" s="6"/>
      <c r="T16" s="6"/>
      <c r="U16" s="6"/>
      <c r="V16" s="6"/>
      <c r="W16" s="21"/>
      <c r="X16" s="6"/>
      <c r="Y16" s="19"/>
      <c r="Z16" s="6"/>
      <c r="AA16" s="6"/>
      <c r="AB16" s="6"/>
      <c r="AC16" s="6"/>
      <c r="AD16" s="6"/>
      <c r="AE16" s="6"/>
      <c r="AF16" s="19"/>
      <c r="AG16" s="19"/>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19"/>
      <c r="BU16" s="19"/>
      <c r="BV16" s="6"/>
      <c r="BW16" s="21"/>
      <c r="BX16" s="6"/>
      <c r="BY16" s="21"/>
      <c r="BZ16" s="6"/>
      <c r="CA16" s="6"/>
      <c r="CB16" s="6"/>
      <c r="CC16" s="6"/>
      <c r="CD16" s="6"/>
      <c r="CE16" s="6"/>
      <c r="CF16" s="6"/>
      <c r="CG16" s="6"/>
      <c r="CH16" s="6"/>
      <c r="CI16" s="6"/>
      <c r="CJ16" s="6"/>
      <c r="CK16" s="6"/>
      <c r="CL16" s="6"/>
      <c r="CM16" s="1" t="str">
        <f>IF(B16="","",COUNTIF($B$6:B16,B16))</f>
        <v/>
      </c>
      <c r="CN16" s="1" t="str">
        <f t="shared" si="0"/>
        <v/>
      </c>
      <c r="CO16" s="1" t="str">
        <f t="shared" si="1"/>
        <v/>
      </c>
    </row>
    <row r="17" spans="1:93" ht="13.5" customHeight="1" x14ac:dyDescent="0.25">
      <c r="A17" s="5" t="s">
        <v>400</v>
      </c>
      <c r="B17" s="23"/>
      <c r="C17" s="6"/>
      <c r="D17" s="6"/>
      <c r="E17" s="6"/>
      <c r="F17" s="6"/>
      <c r="G17" s="6"/>
      <c r="H17" s="6"/>
      <c r="I17" s="6"/>
      <c r="J17" s="6"/>
      <c r="K17" s="6"/>
      <c r="L17" s="6"/>
      <c r="M17" s="6"/>
      <c r="N17" s="6"/>
      <c r="O17" s="6"/>
      <c r="P17" s="6"/>
      <c r="Q17" s="6"/>
      <c r="R17" s="6"/>
      <c r="S17" s="6"/>
      <c r="T17" s="6"/>
      <c r="U17" s="6"/>
      <c r="V17" s="6"/>
      <c r="W17" s="21"/>
      <c r="X17" s="6"/>
      <c r="Y17" s="19"/>
      <c r="Z17" s="6"/>
      <c r="AA17" s="6"/>
      <c r="AB17" s="6"/>
      <c r="AC17" s="6"/>
      <c r="AD17" s="6"/>
      <c r="AE17" s="6"/>
      <c r="AF17" s="19"/>
      <c r="AG17" s="19"/>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19"/>
      <c r="BU17" s="19"/>
      <c r="BV17" s="6"/>
      <c r="BW17" s="21"/>
      <c r="BX17" s="6"/>
      <c r="BY17" s="21"/>
      <c r="BZ17" s="6"/>
      <c r="CA17" s="6"/>
      <c r="CB17" s="6"/>
      <c r="CC17" s="6"/>
      <c r="CD17" s="6"/>
      <c r="CE17" s="6"/>
      <c r="CF17" s="6"/>
      <c r="CG17" s="6"/>
      <c r="CH17" s="6"/>
      <c r="CI17" s="6"/>
      <c r="CJ17" s="6"/>
      <c r="CK17" s="6"/>
      <c r="CL17" s="6"/>
      <c r="CM17" s="1" t="str">
        <f>IF(B17="","",COUNTIF($B$6:B17,B17))</f>
        <v/>
      </c>
      <c r="CN17" s="1" t="str">
        <f t="shared" si="0"/>
        <v/>
      </c>
      <c r="CO17" s="1" t="str">
        <f t="shared" si="1"/>
        <v/>
      </c>
    </row>
    <row r="18" spans="1:93" ht="13.5" customHeight="1" x14ac:dyDescent="0.25">
      <c r="A18" s="5" t="s">
        <v>400</v>
      </c>
      <c r="B18" s="23"/>
      <c r="C18" s="6"/>
      <c r="D18" s="6"/>
      <c r="E18" s="6"/>
      <c r="F18" s="6"/>
      <c r="G18" s="6"/>
      <c r="H18" s="6"/>
      <c r="I18" s="6"/>
      <c r="J18" s="6"/>
      <c r="K18" s="6"/>
      <c r="L18" s="6"/>
      <c r="M18" s="6"/>
      <c r="N18" s="6"/>
      <c r="O18" s="6"/>
      <c r="P18" s="6"/>
      <c r="Q18" s="6"/>
      <c r="R18" s="6"/>
      <c r="S18" s="6"/>
      <c r="T18" s="6"/>
      <c r="U18" s="6"/>
      <c r="V18" s="6"/>
      <c r="W18" s="21"/>
      <c r="X18" s="6"/>
      <c r="Y18" s="19"/>
      <c r="Z18" s="6"/>
      <c r="AA18" s="6"/>
      <c r="AB18" s="6"/>
      <c r="AC18" s="6"/>
      <c r="AD18" s="6"/>
      <c r="AE18" s="6"/>
      <c r="AF18" s="19"/>
      <c r="AG18" s="19"/>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19"/>
      <c r="BU18" s="19"/>
      <c r="BV18" s="6"/>
      <c r="BW18" s="21"/>
      <c r="BX18" s="6"/>
      <c r="BY18" s="21"/>
      <c r="BZ18" s="6"/>
      <c r="CA18" s="6"/>
      <c r="CB18" s="6"/>
      <c r="CC18" s="6"/>
      <c r="CD18" s="6"/>
      <c r="CE18" s="6"/>
      <c r="CF18" s="6"/>
      <c r="CG18" s="6"/>
      <c r="CH18" s="6"/>
      <c r="CI18" s="6"/>
      <c r="CJ18" s="6"/>
      <c r="CK18" s="6"/>
      <c r="CL18" s="6"/>
      <c r="CM18" s="1" t="str">
        <f>IF(B18="","",COUNTIF($B$6:B18,B18))</f>
        <v/>
      </c>
      <c r="CN18" s="1" t="str">
        <f t="shared" si="0"/>
        <v/>
      </c>
      <c r="CO18" s="1" t="str">
        <f t="shared" si="1"/>
        <v/>
      </c>
    </row>
    <row r="19" spans="1:93" ht="13.5" customHeight="1" x14ac:dyDescent="0.25">
      <c r="A19" s="5" t="s">
        <v>400</v>
      </c>
      <c r="B19" s="23"/>
      <c r="C19" s="6"/>
      <c r="D19" s="6"/>
      <c r="E19" s="6"/>
      <c r="F19" s="6"/>
      <c r="G19" s="6"/>
      <c r="H19" s="6"/>
      <c r="I19" s="6"/>
      <c r="J19" s="6"/>
      <c r="K19" s="6"/>
      <c r="L19" s="6"/>
      <c r="M19" s="6"/>
      <c r="N19" s="6"/>
      <c r="O19" s="6"/>
      <c r="P19" s="6"/>
      <c r="Q19" s="6"/>
      <c r="R19" s="6"/>
      <c r="S19" s="6"/>
      <c r="T19" s="6"/>
      <c r="U19" s="6"/>
      <c r="V19" s="6"/>
      <c r="W19" s="21"/>
      <c r="X19" s="6"/>
      <c r="Y19" s="19"/>
      <c r="Z19" s="6"/>
      <c r="AA19" s="6"/>
      <c r="AB19" s="6"/>
      <c r="AC19" s="6"/>
      <c r="AD19" s="6"/>
      <c r="AE19" s="6"/>
      <c r="AF19" s="19"/>
      <c r="AG19" s="19"/>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19"/>
      <c r="BU19" s="19"/>
      <c r="BV19" s="6"/>
      <c r="BW19" s="21"/>
      <c r="BX19" s="6"/>
      <c r="BY19" s="21"/>
      <c r="BZ19" s="6"/>
      <c r="CA19" s="6"/>
      <c r="CB19" s="6"/>
      <c r="CC19" s="6"/>
      <c r="CD19" s="6"/>
      <c r="CE19" s="6"/>
      <c r="CF19" s="6"/>
      <c r="CG19" s="6"/>
      <c r="CH19" s="6"/>
      <c r="CI19" s="6"/>
      <c r="CJ19" s="6"/>
      <c r="CK19" s="6"/>
      <c r="CL19" s="6"/>
      <c r="CM19" s="1" t="str">
        <f>IF(B19="","",COUNTIF($B$6:B19,B19))</f>
        <v/>
      </c>
      <c r="CN19" s="1" t="str">
        <f t="shared" si="0"/>
        <v/>
      </c>
      <c r="CO19" s="1" t="str">
        <f t="shared" si="1"/>
        <v/>
      </c>
    </row>
    <row r="20" spans="1:93" ht="13.5" customHeight="1" x14ac:dyDescent="0.25">
      <c r="A20" s="5" t="s">
        <v>400</v>
      </c>
      <c r="B20" s="23"/>
      <c r="C20" s="6"/>
      <c r="D20" s="6"/>
      <c r="E20" s="6"/>
      <c r="F20" s="6"/>
      <c r="G20" s="6"/>
      <c r="H20" s="6"/>
      <c r="I20" s="6"/>
      <c r="J20" s="6"/>
      <c r="K20" s="6"/>
      <c r="L20" s="6"/>
      <c r="M20" s="6"/>
      <c r="N20" s="6"/>
      <c r="O20" s="6"/>
      <c r="P20" s="6"/>
      <c r="Q20" s="6"/>
      <c r="R20" s="6"/>
      <c r="S20" s="6"/>
      <c r="T20" s="6"/>
      <c r="U20" s="6"/>
      <c r="V20" s="6"/>
      <c r="W20" s="21"/>
      <c r="X20" s="6"/>
      <c r="Y20" s="19"/>
      <c r="Z20" s="6"/>
      <c r="AA20" s="6"/>
      <c r="AB20" s="6"/>
      <c r="AC20" s="6"/>
      <c r="AD20" s="6"/>
      <c r="AE20" s="6"/>
      <c r="AF20" s="19"/>
      <c r="AG20" s="19"/>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19"/>
      <c r="BU20" s="19"/>
      <c r="BV20" s="6"/>
      <c r="BW20" s="21"/>
      <c r="BX20" s="6"/>
      <c r="BY20" s="21"/>
      <c r="BZ20" s="6"/>
      <c r="CA20" s="6"/>
      <c r="CB20" s="6"/>
      <c r="CC20" s="6"/>
      <c r="CD20" s="6"/>
      <c r="CE20" s="6"/>
      <c r="CF20" s="6"/>
      <c r="CG20" s="6"/>
      <c r="CH20" s="6"/>
      <c r="CI20" s="6"/>
      <c r="CJ20" s="6"/>
      <c r="CK20" s="6"/>
      <c r="CL20" s="6"/>
      <c r="CM20" s="1" t="str">
        <f>IF(B20="","",COUNTIF($B$6:B20,B20))</f>
        <v/>
      </c>
      <c r="CN20" s="1" t="str">
        <f t="shared" si="0"/>
        <v/>
      </c>
      <c r="CO20" s="1" t="str">
        <f t="shared" si="1"/>
        <v/>
      </c>
    </row>
    <row r="21" spans="1:93" ht="13.5" customHeight="1" x14ac:dyDescent="0.25">
      <c r="A21" s="5" t="s">
        <v>400</v>
      </c>
      <c r="B21" s="23"/>
      <c r="C21" s="6"/>
      <c r="D21" s="6"/>
      <c r="E21" s="6"/>
      <c r="F21" s="6"/>
      <c r="G21" s="6"/>
      <c r="H21" s="6"/>
      <c r="I21" s="6"/>
      <c r="J21" s="6"/>
      <c r="K21" s="6"/>
      <c r="L21" s="6"/>
      <c r="M21" s="6"/>
      <c r="N21" s="6"/>
      <c r="O21" s="6"/>
      <c r="P21" s="6"/>
      <c r="Q21" s="6"/>
      <c r="R21" s="6"/>
      <c r="S21" s="6"/>
      <c r="T21" s="6"/>
      <c r="U21" s="6"/>
      <c r="V21" s="6"/>
      <c r="W21" s="21"/>
      <c r="X21" s="6"/>
      <c r="Y21" s="19"/>
      <c r="Z21" s="6"/>
      <c r="AA21" s="6"/>
      <c r="AB21" s="6"/>
      <c r="AC21" s="6"/>
      <c r="AD21" s="6"/>
      <c r="AE21" s="6"/>
      <c r="AF21" s="19"/>
      <c r="AG21" s="19"/>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19"/>
      <c r="BU21" s="19"/>
      <c r="BV21" s="6"/>
      <c r="BW21" s="21"/>
      <c r="BX21" s="6"/>
      <c r="BY21" s="21"/>
      <c r="BZ21" s="6"/>
      <c r="CA21" s="6"/>
      <c r="CB21" s="6"/>
      <c r="CC21" s="6"/>
      <c r="CD21" s="6"/>
      <c r="CE21" s="6"/>
      <c r="CF21" s="6"/>
      <c r="CG21" s="6"/>
      <c r="CH21" s="6"/>
      <c r="CI21" s="6"/>
      <c r="CJ21" s="6"/>
      <c r="CK21" s="6"/>
      <c r="CL21" s="6"/>
      <c r="CM21" s="1" t="str">
        <f>IF(B21="","",COUNTIF($B$6:B21,B21))</f>
        <v/>
      </c>
      <c r="CN21" s="1" t="str">
        <f t="shared" si="0"/>
        <v/>
      </c>
      <c r="CO21" s="1" t="str">
        <f t="shared" si="1"/>
        <v/>
      </c>
    </row>
    <row r="22" spans="1:93" ht="13.5" customHeight="1" x14ac:dyDescent="0.25">
      <c r="A22" s="5" t="s">
        <v>400</v>
      </c>
      <c r="B22" s="23"/>
      <c r="C22" s="6"/>
      <c r="D22" s="6"/>
      <c r="E22" s="6"/>
      <c r="F22" s="6"/>
      <c r="G22" s="6"/>
      <c r="H22" s="6"/>
      <c r="I22" s="6"/>
      <c r="J22" s="6"/>
      <c r="K22" s="6"/>
      <c r="L22" s="6"/>
      <c r="M22" s="6"/>
      <c r="N22" s="6"/>
      <c r="O22" s="6"/>
      <c r="P22" s="6"/>
      <c r="Q22" s="6"/>
      <c r="R22" s="6"/>
      <c r="S22" s="6"/>
      <c r="T22" s="6"/>
      <c r="U22" s="6"/>
      <c r="V22" s="6"/>
      <c r="W22" s="21"/>
      <c r="X22" s="6"/>
      <c r="Y22" s="19"/>
      <c r="Z22" s="6"/>
      <c r="AA22" s="6"/>
      <c r="AB22" s="6"/>
      <c r="AC22" s="6"/>
      <c r="AD22" s="6"/>
      <c r="AE22" s="6"/>
      <c r="AF22" s="19"/>
      <c r="AG22" s="19"/>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19"/>
      <c r="BU22" s="19"/>
      <c r="BV22" s="6"/>
      <c r="BW22" s="21"/>
      <c r="BX22" s="6"/>
      <c r="BY22" s="21"/>
      <c r="BZ22" s="6"/>
      <c r="CA22" s="6"/>
      <c r="CB22" s="6"/>
      <c r="CC22" s="6"/>
      <c r="CD22" s="6"/>
      <c r="CE22" s="6"/>
      <c r="CF22" s="6"/>
      <c r="CG22" s="6"/>
      <c r="CH22" s="6"/>
      <c r="CI22" s="6"/>
      <c r="CJ22" s="6"/>
      <c r="CK22" s="6"/>
      <c r="CL22" s="6"/>
      <c r="CM22" s="1" t="str">
        <f>IF(B22="","",COUNTIF($B$6:B22,B22))</f>
        <v/>
      </c>
      <c r="CN22" s="1" t="str">
        <f t="shared" si="0"/>
        <v/>
      </c>
      <c r="CO22" s="1" t="str">
        <f t="shared" si="1"/>
        <v/>
      </c>
    </row>
    <row r="23" spans="1:93" ht="13.5" customHeight="1" x14ac:dyDescent="0.25">
      <c r="A23" s="5" t="s">
        <v>400</v>
      </c>
      <c r="B23" s="23"/>
      <c r="C23" s="6"/>
      <c r="D23" s="6"/>
      <c r="E23" s="6"/>
      <c r="F23" s="6"/>
      <c r="G23" s="6"/>
      <c r="H23" s="6"/>
      <c r="I23" s="6"/>
      <c r="J23" s="6"/>
      <c r="K23" s="6"/>
      <c r="L23" s="6"/>
      <c r="M23" s="6"/>
      <c r="N23" s="6"/>
      <c r="O23" s="6"/>
      <c r="P23" s="6"/>
      <c r="Q23" s="6"/>
      <c r="R23" s="6"/>
      <c r="S23" s="6"/>
      <c r="T23" s="6"/>
      <c r="U23" s="6"/>
      <c r="V23" s="6"/>
      <c r="W23" s="21"/>
      <c r="X23" s="6"/>
      <c r="Y23" s="19"/>
      <c r="Z23" s="6"/>
      <c r="AA23" s="6"/>
      <c r="AB23" s="6"/>
      <c r="AC23" s="6"/>
      <c r="AD23" s="6"/>
      <c r="AE23" s="6"/>
      <c r="AF23" s="19"/>
      <c r="AG23" s="19"/>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19"/>
      <c r="BU23" s="19"/>
      <c r="BV23" s="6"/>
      <c r="BW23" s="21"/>
      <c r="BX23" s="6"/>
      <c r="BY23" s="21"/>
      <c r="BZ23" s="6"/>
      <c r="CA23" s="6"/>
      <c r="CB23" s="6"/>
      <c r="CC23" s="6"/>
      <c r="CD23" s="6"/>
      <c r="CE23" s="6"/>
      <c r="CF23" s="6"/>
      <c r="CG23" s="6"/>
      <c r="CH23" s="6"/>
      <c r="CI23" s="6"/>
      <c r="CJ23" s="6"/>
      <c r="CK23" s="6"/>
      <c r="CL23" s="6"/>
      <c r="CM23" s="1" t="str">
        <f>IF(B23="","",COUNTIF($B$6:B23,B23))</f>
        <v/>
      </c>
      <c r="CN23" s="1" t="str">
        <f t="shared" si="0"/>
        <v/>
      </c>
      <c r="CO23" s="1" t="str">
        <f t="shared" si="1"/>
        <v/>
      </c>
    </row>
    <row r="24" spans="1:93" ht="13.5" customHeight="1" x14ac:dyDescent="0.25">
      <c r="A24" s="5" t="s">
        <v>400</v>
      </c>
      <c r="B24" s="23"/>
      <c r="C24" s="6"/>
      <c r="D24" s="6"/>
      <c r="E24" s="6"/>
      <c r="F24" s="6"/>
      <c r="G24" s="6"/>
      <c r="H24" s="6"/>
      <c r="I24" s="6"/>
      <c r="J24" s="6"/>
      <c r="K24" s="6"/>
      <c r="L24" s="6"/>
      <c r="M24" s="6"/>
      <c r="N24" s="6"/>
      <c r="O24" s="6"/>
      <c r="P24" s="6"/>
      <c r="Q24" s="6"/>
      <c r="R24" s="6"/>
      <c r="S24" s="6"/>
      <c r="T24" s="6"/>
      <c r="U24" s="6"/>
      <c r="V24" s="6"/>
      <c r="W24" s="21"/>
      <c r="X24" s="6"/>
      <c r="Y24" s="19"/>
      <c r="Z24" s="6"/>
      <c r="AA24" s="6"/>
      <c r="AB24" s="6"/>
      <c r="AC24" s="6"/>
      <c r="AD24" s="6"/>
      <c r="AE24" s="6"/>
      <c r="AF24" s="19"/>
      <c r="AG24" s="19"/>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19"/>
      <c r="BU24" s="19"/>
      <c r="BV24" s="6"/>
      <c r="BW24" s="21"/>
      <c r="BX24" s="6"/>
      <c r="BY24" s="21"/>
      <c r="BZ24" s="6"/>
      <c r="CA24" s="6"/>
      <c r="CB24" s="6"/>
      <c r="CC24" s="6"/>
      <c r="CD24" s="6"/>
      <c r="CE24" s="6"/>
      <c r="CF24" s="6"/>
      <c r="CG24" s="6"/>
      <c r="CH24" s="6"/>
      <c r="CI24" s="6"/>
      <c r="CJ24" s="6"/>
      <c r="CK24" s="6"/>
      <c r="CL24" s="6"/>
      <c r="CM24" s="1" t="str">
        <f>IF(B24="","",COUNTIF($B$6:B24,B24))</f>
        <v/>
      </c>
      <c r="CN24" s="1" t="str">
        <f t="shared" si="0"/>
        <v/>
      </c>
      <c r="CO24" s="1" t="str">
        <f t="shared" si="1"/>
        <v/>
      </c>
    </row>
    <row r="25" spans="1:93" ht="13.5" customHeight="1" x14ac:dyDescent="0.25">
      <c r="A25" s="5" t="s">
        <v>400</v>
      </c>
      <c r="B25" s="23"/>
      <c r="C25" s="6"/>
      <c r="D25" s="6"/>
      <c r="E25" s="6"/>
      <c r="F25" s="6"/>
      <c r="G25" s="6"/>
      <c r="H25" s="6"/>
      <c r="I25" s="6"/>
      <c r="J25" s="6"/>
      <c r="K25" s="6"/>
      <c r="L25" s="6"/>
      <c r="M25" s="6"/>
      <c r="N25" s="6"/>
      <c r="O25" s="6"/>
      <c r="P25" s="6"/>
      <c r="Q25" s="6"/>
      <c r="R25" s="6"/>
      <c r="S25" s="6"/>
      <c r="T25" s="6"/>
      <c r="U25" s="6"/>
      <c r="V25" s="6"/>
      <c r="W25" s="21"/>
      <c r="X25" s="6"/>
      <c r="Y25" s="19"/>
      <c r="Z25" s="6"/>
      <c r="AA25" s="6"/>
      <c r="AB25" s="6"/>
      <c r="AC25" s="6"/>
      <c r="AD25" s="6"/>
      <c r="AE25" s="6"/>
      <c r="AF25" s="19"/>
      <c r="AG25" s="19"/>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19"/>
      <c r="BU25" s="19"/>
      <c r="BV25" s="6"/>
      <c r="BW25" s="21"/>
      <c r="BX25" s="6"/>
      <c r="BY25" s="21"/>
      <c r="BZ25" s="6"/>
      <c r="CA25" s="6"/>
      <c r="CB25" s="6"/>
      <c r="CC25" s="6"/>
      <c r="CD25" s="6"/>
      <c r="CE25" s="6"/>
      <c r="CF25" s="6"/>
      <c r="CG25" s="6"/>
      <c r="CH25" s="6"/>
      <c r="CI25" s="6"/>
      <c r="CJ25" s="6"/>
      <c r="CK25" s="6"/>
      <c r="CL25" s="6"/>
      <c r="CM25" s="1" t="str">
        <f>IF(B25="","",COUNTIF($B$6:B25,B25))</f>
        <v/>
      </c>
      <c r="CN25" s="1" t="str">
        <f t="shared" si="0"/>
        <v/>
      </c>
      <c r="CO25" s="1" t="str">
        <f t="shared" si="1"/>
        <v/>
      </c>
    </row>
    <row r="26" spans="1:93" ht="13.5" customHeight="1" x14ac:dyDescent="0.25">
      <c r="A26" s="5" t="s">
        <v>400</v>
      </c>
      <c r="B26" s="23"/>
      <c r="C26" s="6"/>
      <c r="D26" s="6"/>
      <c r="E26" s="6"/>
      <c r="F26" s="6"/>
      <c r="G26" s="6"/>
      <c r="H26" s="6"/>
      <c r="I26" s="6"/>
      <c r="J26" s="6"/>
      <c r="K26" s="6"/>
      <c r="L26" s="6"/>
      <c r="M26" s="6"/>
      <c r="N26" s="6"/>
      <c r="O26" s="6"/>
      <c r="P26" s="6"/>
      <c r="Q26" s="6"/>
      <c r="R26" s="6"/>
      <c r="S26" s="6"/>
      <c r="T26" s="6"/>
      <c r="U26" s="6"/>
      <c r="V26" s="6"/>
      <c r="W26" s="21"/>
      <c r="X26" s="6"/>
      <c r="Y26" s="19"/>
      <c r="Z26" s="6"/>
      <c r="AA26" s="6"/>
      <c r="AB26" s="6"/>
      <c r="AC26" s="6"/>
      <c r="AD26" s="6"/>
      <c r="AE26" s="6"/>
      <c r="AF26" s="19"/>
      <c r="AG26" s="19"/>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19"/>
      <c r="BU26" s="19"/>
      <c r="BV26" s="6"/>
      <c r="BW26" s="21"/>
      <c r="BX26" s="6"/>
      <c r="BY26" s="21"/>
      <c r="BZ26" s="6"/>
      <c r="CA26" s="6"/>
      <c r="CB26" s="6"/>
      <c r="CC26" s="6"/>
      <c r="CD26" s="6"/>
      <c r="CE26" s="6"/>
      <c r="CF26" s="6"/>
      <c r="CG26" s="6"/>
      <c r="CH26" s="6"/>
      <c r="CI26" s="6"/>
      <c r="CJ26" s="6"/>
      <c r="CK26" s="6"/>
      <c r="CL26" s="6"/>
      <c r="CM26" s="1" t="str">
        <f>IF(B26="","",COUNTIF($B$6:B26,B26))</f>
        <v/>
      </c>
      <c r="CN26" s="1" t="str">
        <f t="shared" si="0"/>
        <v/>
      </c>
      <c r="CO26" s="1" t="str">
        <f t="shared" si="1"/>
        <v/>
      </c>
    </row>
  </sheetData>
  <mergeCells count="1">
    <mergeCell ref="A1:AD1"/>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2">
        <x14:dataValidation type="list" allowBlank="1" errorTitle="Invalid entry" error="Please pick a value from the list" xr:uid="{00000000-0002-0000-0400-000000000000}">
          <x14:formula1>
            <xm:f>Masters!$AK$4:$AK$18</xm:f>
          </x14:formula1>
          <x14:formula2>
            <xm:f>0</xm:f>
          </x14:formula2>
          <xm:sqref>C6:C26</xm:sqref>
        </x14:dataValidation>
        <x14:dataValidation type="list" allowBlank="1" errorTitle="Invalid entry" error="Please pick a value from the list" xr:uid="{00000000-0002-0000-0400-000001000000}">
          <x14:formula1>
            <xm:f>Masters!$AB$4:$AB$5</xm:f>
          </x14:formula1>
          <x14:formula2>
            <xm:f>0</xm:f>
          </x14:formula2>
          <xm:sqref>D6:D26</xm:sqref>
        </x14:dataValidation>
        <x14:dataValidation type="list" allowBlank="1" errorTitle="Invalid entry" error="Please pick a value from the list" xr:uid="{00000000-0002-0000-0400-000002000000}">
          <x14:formula1>
            <xm:f>Masters!$P$4:$P$5</xm:f>
          </x14:formula1>
          <x14:formula2>
            <xm:f>0</xm:f>
          </x14:formula2>
          <xm:sqref>N6:N26</xm:sqref>
        </x14:dataValidation>
        <x14:dataValidation type="list" allowBlank="1" errorTitle="Invalid entry" error="Please pick a value from the list" xr:uid="{00000000-0002-0000-0400-000003000000}">
          <x14:formula1>
            <xm:f>Masters!$A$4:$A$6</xm:f>
          </x14:formula1>
          <x14:formula2>
            <xm:f>0</xm:f>
          </x14:formula2>
          <xm:sqref>X6:X26</xm:sqref>
        </x14:dataValidation>
        <x14:dataValidation type="list" allowBlank="1" errorTitle="Invalid entry" error="Please pick a value from the list" xr:uid="{00000000-0002-0000-0400-000004000000}">
          <x14:formula1>
            <xm:f>Masters!$BC$4:$BC$252</xm:f>
          </x14:formula1>
          <x14:formula2>
            <xm:f>0</xm:f>
          </x14:formula2>
          <xm:sqref>Z6:Z26 BK6:BK26 BB6:BB26</xm:sqref>
        </x14:dataValidation>
        <x14:dataValidation type="list" allowBlank="1" errorTitle="Invalid entry" error="Please pick a value from the list" xr:uid="{00000000-0002-0000-0400-000005000000}">
          <x14:formula1>
            <xm:f>Masters!$M$4:$M$7</xm:f>
          </x14:formula1>
          <x14:formula2>
            <xm:f>0</xm:f>
          </x14:formula2>
          <xm:sqref>AA6:AA26</xm:sqref>
        </x14:dataValidation>
        <x14:dataValidation type="list" allowBlank="1" errorTitle="Invalid entry" error="Please pick a value from the list" xr:uid="{00000000-0002-0000-0400-000006000000}">
          <x14:formula1>
            <xm:f>Masters!$S$4:$S$5</xm:f>
          </x14:formula1>
          <x14:formula2>
            <xm:f>0</xm:f>
          </x14:formula2>
          <xm:sqref>AB6:AB26</xm:sqref>
        </x14:dataValidation>
        <x14:dataValidation type="list" allowBlank="1" errorTitle="Invalid entry" error="Please pick a value from the list" xr:uid="{00000000-0002-0000-0400-000007000000}">
          <x14:formula1>
            <xm:f>Masters!$AW$4:$AW$23</xm:f>
          </x14:formula1>
          <x14:formula2>
            <xm:f>0</xm:f>
          </x14:formula2>
          <xm:sqref>AC6:AC26</xm:sqref>
        </x14:dataValidation>
        <x14:dataValidation type="list" allowBlank="1" errorTitle="Invalid entry" error="Please pick a value from the list" xr:uid="{00000000-0002-0000-0400-000008000000}">
          <x14:formula1>
            <xm:f>Masters!$AZ$4:$AZ$45</xm:f>
          </x14:formula1>
          <x14:formula2>
            <xm:f>0</xm:f>
          </x14:formula2>
          <xm:sqref>BA6:BA26 BJ6:BJ26</xm:sqref>
        </x14:dataValidation>
        <x14:dataValidation type="list" allowBlank="1" errorTitle="Invalid entry" error="Please pick a value from the list" xr:uid="{00000000-0002-0000-0400-00000A000000}">
          <x14:formula1>
            <xm:f>Masters!$AQ$4:$AQ$20</xm:f>
          </x14:formula1>
          <x14:formula2>
            <xm:f>0</xm:f>
          </x14:formula2>
          <xm:sqref>BC6:BC26 BM6:BM26</xm:sqref>
        </x14:dataValidation>
        <x14:dataValidation type="list" allowBlank="1" errorTitle="Invalid entry" error="Please pick a value from the list" xr:uid="{00000000-0002-0000-0400-00000B000000}">
          <x14:formula1>
            <xm:f>Masters!$D$4:$D$5</xm:f>
          </x14:formula1>
          <x14:formula2>
            <xm:f>0</xm:f>
          </x14:formula2>
          <xm:sqref>BD6:BD26</xm:sqref>
        </x14:dataValidation>
        <x14:dataValidation type="list" allowBlank="1" errorTitle="Invalid entry" error="Please pick a value from the list" xr:uid="{00000000-0002-0000-0400-00000F000000}">
          <x14:formula1>
            <xm:f>Masters!$V$4:$V$9</xm:f>
          </x14:formula1>
          <x14:formula2>
            <xm:f>0</xm:f>
          </x14:formula2>
          <xm:sqref>BZ6:BZ26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66"/>
  <sheetViews>
    <sheetView showGridLines="0" zoomScaleNormal="100" workbookViewId="0">
      <pane xSplit="2" ySplit="5" topLeftCell="C6" activePane="bottomRight" state="frozen"/>
      <selection pane="topRight" activeCell="C1" sqref="C1"/>
      <selection pane="bottomLeft" activeCell="A6" sqref="A6"/>
      <selection pane="bottomRight" activeCell="D6" sqref="D6"/>
    </sheetView>
  </sheetViews>
  <sheetFormatPr defaultColWidth="8.7109375" defaultRowHeight="15" x14ac:dyDescent="0.25"/>
  <cols>
    <col min="1" max="9" width="15" customWidth="1"/>
    <col min="10" max="12" width="14" customWidth="1"/>
  </cols>
  <sheetData>
    <row r="1" spans="1:12" ht="21.75" customHeight="1" x14ac:dyDescent="0.25">
      <c r="A1" s="32" t="s">
        <v>401</v>
      </c>
      <c r="B1" s="32"/>
      <c r="C1" s="32"/>
      <c r="D1" s="32"/>
      <c r="E1" s="32"/>
      <c r="F1" s="32"/>
      <c r="G1" s="32"/>
      <c r="H1" s="32"/>
      <c r="I1" s="32"/>
    </row>
    <row r="2" spans="1:12" ht="13.5" customHeight="1" x14ac:dyDescent="0.25">
      <c r="A2" s="10" t="s">
        <v>73</v>
      </c>
      <c r="B2" s="10" t="s">
        <v>73</v>
      </c>
      <c r="C2" s="10" t="s">
        <v>85</v>
      </c>
      <c r="D2" s="10" t="s">
        <v>85</v>
      </c>
      <c r="E2" s="10" t="s">
        <v>402</v>
      </c>
      <c r="F2" s="10" t="s">
        <v>402</v>
      </c>
      <c r="G2" s="10" t="s">
        <v>85</v>
      </c>
      <c r="H2" s="10" t="s">
        <v>85</v>
      </c>
      <c r="I2" s="10" t="s">
        <v>85</v>
      </c>
    </row>
    <row r="3" spans="1:12" ht="30" customHeight="1" x14ac:dyDescent="0.25">
      <c r="A3" s="12" t="s">
        <v>87</v>
      </c>
      <c r="B3" s="12" t="s">
        <v>283</v>
      </c>
      <c r="C3" s="12" t="s">
        <v>403</v>
      </c>
      <c r="D3" s="12" t="s">
        <v>404</v>
      </c>
      <c r="E3" s="12" t="s">
        <v>405</v>
      </c>
      <c r="F3" s="12" t="s">
        <v>406</v>
      </c>
      <c r="G3" s="12" t="s">
        <v>407</v>
      </c>
      <c r="H3" s="12" t="s">
        <v>408</v>
      </c>
      <c r="I3" s="12" t="s">
        <v>409</v>
      </c>
      <c r="J3" s="22" t="s">
        <v>294</v>
      </c>
      <c r="K3" s="22" t="s">
        <v>295</v>
      </c>
      <c r="L3" s="22" t="s">
        <v>208</v>
      </c>
    </row>
    <row r="4" spans="1:12" ht="12" customHeight="1" x14ac:dyDescent="0.25">
      <c r="A4" s="14" t="s">
        <v>209</v>
      </c>
      <c r="B4" s="14" t="s">
        <v>209</v>
      </c>
      <c r="C4" s="14" t="s">
        <v>209</v>
      </c>
      <c r="D4" s="14" t="s">
        <v>209</v>
      </c>
      <c r="E4" s="15"/>
      <c r="F4" s="15"/>
      <c r="G4" s="15" t="s">
        <v>211</v>
      </c>
      <c r="H4" s="15" t="s">
        <v>211</v>
      </c>
      <c r="I4" s="15" t="s">
        <v>211</v>
      </c>
    </row>
    <row r="5" spans="1:12" ht="12" customHeight="1" x14ac:dyDescent="0.25">
      <c r="A5" s="16" t="s">
        <v>213</v>
      </c>
      <c r="B5" s="16" t="s">
        <v>410</v>
      </c>
      <c r="C5" s="16" t="s">
        <v>232</v>
      </c>
      <c r="D5" s="16" t="s">
        <v>213</v>
      </c>
      <c r="E5" s="16"/>
      <c r="F5" s="16"/>
      <c r="G5" s="16" t="s">
        <v>221</v>
      </c>
      <c r="H5" s="16" t="s">
        <v>221</v>
      </c>
      <c r="I5" s="16" t="s">
        <v>221</v>
      </c>
    </row>
    <row r="6" spans="1:12" ht="13.5" customHeight="1" x14ac:dyDescent="0.25">
      <c r="A6" s="5" t="s">
        <v>411</v>
      </c>
      <c r="B6" s="18">
        <v>1</v>
      </c>
      <c r="C6" s="18" t="s">
        <v>412</v>
      </c>
      <c r="D6" s="18" t="s">
        <v>267</v>
      </c>
      <c r="E6" s="19"/>
      <c r="F6" s="19"/>
      <c r="G6" s="18"/>
      <c r="H6" s="18"/>
      <c r="I6" s="18"/>
      <c r="J6" s="1">
        <f>IF(B6="","",COUNTIF($B$6:B6,B6))</f>
        <v>1</v>
      </c>
      <c r="K6" s="1" t="str">
        <f t="shared" ref="K6:K37" si="0">IF(B6="","",B6&amp;"-"&amp;J6)</f>
        <v>1-1</v>
      </c>
      <c r="L6" s="1" t="str">
        <f t="shared" ref="L6:L37" si="1">IF(B6="","",_xlfn.TEXTJOIN("|",FALSE(),A6:I6))</f>
        <v>70|1|40037412143945_02_08082025142841.TIF|02|||||</v>
      </c>
    </row>
    <row r="7" spans="1:12" ht="13.5" customHeight="1" x14ac:dyDescent="0.25">
      <c r="A7" s="5" t="s">
        <v>411</v>
      </c>
      <c r="B7" s="23"/>
      <c r="C7" s="6"/>
      <c r="D7" s="6"/>
      <c r="E7" s="19"/>
      <c r="F7" s="19"/>
      <c r="G7" s="6"/>
      <c r="H7" s="6"/>
      <c r="I7" s="6"/>
      <c r="J7" s="1" t="str">
        <f>IF(B7="","",COUNTIF($B$6:B7,B7))</f>
        <v/>
      </c>
      <c r="K7" s="1" t="str">
        <f t="shared" si="0"/>
        <v/>
      </c>
      <c r="L7" s="1" t="str">
        <f t="shared" si="1"/>
        <v/>
      </c>
    </row>
    <row r="8" spans="1:12" ht="13.5" customHeight="1" x14ac:dyDescent="0.25">
      <c r="A8" s="5" t="s">
        <v>411</v>
      </c>
      <c r="B8" s="23"/>
      <c r="C8" s="6"/>
      <c r="D8" s="6"/>
      <c r="E8" s="19"/>
      <c r="F8" s="19"/>
      <c r="G8" s="6"/>
      <c r="H8" s="6"/>
      <c r="I8" s="6"/>
      <c r="J8" s="1" t="str">
        <f>IF(B8="","",COUNTIF($B$6:B8,B8))</f>
        <v/>
      </c>
      <c r="K8" s="1" t="str">
        <f t="shared" si="0"/>
        <v/>
      </c>
      <c r="L8" s="1" t="str">
        <f t="shared" si="1"/>
        <v/>
      </c>
    </row>
    <row r="9" spans="1:12" ht="13.5" customHeight="1" x14ac:dyDescent="0.25">
      <c r="A9" s="5" t="s">
        <v>411</v>
      </c>
      <c r="B9" s="23"/>
      <c r="C9" s="6"/>
      <c r="D9" s="6"/>
      <c r="E9" s="19"/>
      <c r="F9" s="19"/>
      <c r="G9" s="6"/>
      <c r="H9" s="6"/>
      <c r="I9" s="6"/>
      <c r="J9" s="1" t="str">
        <f>IF(B9="","",COUNTIF($B$6:B9,B9))</f>
        <v/>
      </c>
      <c r="K9" s="1" t="str">
        <f t="shared" si="0"/>
        <v/>
      </c>
      <c r="L9" s="1" t="str">
        <f t="shared" si="1"/>
        <v/>
      </c>
    </row>
    <row r="10" spans="1:12" ht="13.5" customHeight="1" x14ac:dyDescent="0.25">
      <c r="A10" s="5" t="s">
        <v>411</v>
      </c>
      <c r="B10" s="23"/>
      <c r="C10" s="6"/>
      <c r="D10" s="6"/>
      <c r="E10" s="19"/>
      <c r="F10" s="19"/>
      <c r="G10" s="6"/>
      <c r="H10" s="6"/>
      <c r="I10" s="6"/>
      <c r="J10" s="1" t="str">
        <f>IF(B10="","",COUNTIF($B$6:B10,B10))</f>
        <v/>
      </c>
      <c r="K10" s="1" t="str">
        <f t="shared" si="0"/>
        <v/>
      </c>
      <c r="L10" s="1" t="str">
        <f t="shared" si="1"/>
        <v/>
      </c>
    </row>
    <row r="11" spans="1:12" ht="13.5" customHeight="1" x14ac:dyDescent="0.25">
      <c r="A11" s="5" t="s">
        <v>411</v>
      </c>
      <c r="B11" s="23"/>
      <c r="C11" s="6"/>
      <c r="D11" s="6"/>
      <c r="E11" s="19"/>
      <c r="F11" s="19"/>
      <c r="G11" s="6"/>
      <c r="H11" s="6"/>
      <c r="I11" s="6"/>
      <c r="J11" s="1" t="str">
        <f>IF(B11="","",COUNTIF($B$6:B11,B11))</f>
        <v/>
      </c>
      <c r="K11" s="1" t="str">
        <f t="shared" si="0"/>
        <v/>
      </c>
      <c r="L11" s="1" t="str">
        <f t="shared" si="1"/>
        <v/>
      </c>
    </row>
    <row r="12" spans="1:12" ht="13.5" customHeight="1" x14ac:dyDescent="0.25">
      <c r="A12" s="5" t="s">
        <v>411</v>
      </c>
      <c r="B12" s="23"/>
      <c r="C12" s="6"/>
      <c r="D12" s="6"/>
      <c r="E12" s="19"/>
      <c r="F12" s="19"/>
      <c r="G12" s="6"/>
      <c r="H12" s="6"/>
      <c r="I12" s="6"/>
      <c r="J12" s="1" t="str">
        <f>IF(B12="","",COUNTIF($B$6:B12,B12))</f>
        <v/>
      </c>
      <c r="K12" s="1" t="str">
        <f t="shared" si="0"/>
        <v/>
      </c>
      <c r="L12" s="1" t="str">
        <f t="shared" si="1"/>
        <v/>
      </c>
    </row>
    <row r="13" spans="1:12" ht="13.5" customHeight="1" x14ac:dyDescent="0.25">
      <c r="A13" s="5" t="s">
        <v>411</v>
      </c>
      <c r="B13" s="23"/>
      <c r="C13" s="6"/>
      <c r="D13" s="6"/>
      <c r="E13" s="19"/>
      <c r="F13" s="19"/>
      <c r="G13" s="6"/>
      <c r="H13" s="6"/>
      <c r="I13" s="6"/>
      <c r="J13" s="1" t="str">
        <f>IF(B13="","",COUNTIF($B$6:B13,B13))</f>
        <v/>
      </c>
      <c r="K13" s="1" t="str">
        <f t="shared" si="0"/>
        <v/>
      </c>
      <c r="L13" s="1" t="str">
        <f t="shared" si="1"/>
        <v/>
      </c>
    </row>
    <row r="14" spans="1:12" ht="13.5" customHeight="1" x14ac:dyDescent="0.25">
      <c r="A14" s="5" t="s">
        <v>411</v>
      </c>
      <c r="B14" s="23"/>
      <c r="C14" s="6"/>
      <c r="D14" s="6"/>
      <c r="E14" s="19"/>
      <c r="F14" s="19"/>
      <c r="G14" s="6"/>
      <c r="H14" s="6"/>
      <c r="I14" s="6"/>
      <c r="J14" s="1" t="str">
        <f>IF(B14="","",COUNTIF($B$6:B14,B14))</f>
        <v/>
      </c>
      <c r="K14" s="1" t="str">
        <f t="shared" si="0"/>
        <v/>
      </c>
      <c r="L14" s="1" t="str">
        <f t="shared" si="1"/>
        <v/>
      </c>
    </row>
    <row r="15" spans="1:12" ht="13.5" customHeight="1" x14ac:dyDescent="0.25">
      <c r="A15" s="5" t="s">
        <v>411</v>
      </c>
      <c r="B15" s="23"/>
      <c r="C15" s="6"/>
      <c r="D15" s="6"/>
      <c r="E15" s="19"/>
      <c r="F15" s="19"/>
      <c r="G15" s="6"/>
      <c r="H15" s="6"/>
      <c r="I15" s="6"/>
      <c r="J15" s="1" t="str">
        <f>IF(B15="","",COUNTIF($B$6:B15,B15))</f>
        <v/>
      </c>
      <c r="K15" s="1" t="str">
        <f t="shared" si="0"/>
        <v/>
      </c>
      <c r="L15" s="1" t="str">
        <f t="shared" si="1"/>
        <v/>
      </c>
    </row>
    <row r="16" spans="1:12" ht="13.5" customHeight="1" x14ac:dyDescent="0.25">
      <c r="A16" s="5" t="s">
        <v>411</v>
      </c>
      <c r="B16" s="23"/>
      <c r="C16" s="6"/>
      <c r="D16" s="6"/>
      <c r="E16" s="19"/>
      <c r="F16" s="19"/>
      <c r="G16" s="6"/>
      <c r="H16" s="6"/>
      <c r="I16" s="6"/>
      <c r="J16" s="1" t="str">
        <f>IF(B16="","",COUNTIF($B$6:B16,B16))</f>
        <v/>
      </c>
      <c r="K16" s="1" t="str">
        <f t="shared" si="0"/>
        <v/>
      </c>
      <c r="L16" s="1" t="str">
        <f t="shared" si="1"/>
        <v/>
      </c>
    </row>
    <row r="17" spans="1:12" ht="13.5" customHeight="1" x14ac:dyDescent="0.25">
      <c r="A17" s="5" t="s">
        <v>411</v>
      </c>
      <c r="B17" s="23"/>
      <c r="C17" s="6"/>
      <c r="D17" s="6"/>
      <c r="E17" s="19"/>
      <c r="F17" s="19"/>
      <c r="G17" s="6"/>
      <c r="H17" s="6"/>
      <c r="I17" s="6"/>
      <c r="J17" s="1" t="str">
        <f>IF(B17="","",COUNTIF($B$6:B17,B17))</f>
        <v/>
      </c>
      <c r="K17" s="1" t="str">
        <f t="shared" si="0"/>
        <v/>
      </c>
      <c r="L17" s="1" t="str">
        <f t="shared" si="1"/>
        <v/>
      </c>
    </row>
    <row r="18" spans="1:12" ht="13.5" customHeight="1" x14ac:dyDescent="0.25">
      <c r="A18" s="5" t="s">
        <v>411</v>
      </c>
      <c r="B18" s="23"/>
      <c r="C18" s="6"/>
      <c r="D18" s="6"/>
      <c r="E18" s="19"/>
      <c r="F18" s="19"/>
      <c r="G18" s="6"/>
      <c r="H18" s="6"/>
      <c r="I18" s="6"/>
      <c r="J18" s="1" t="str">
        <f>IF(B18="","",COUNTIF($B$6:B18,B18))</f>
        <v/>
      </c>
      <c r="K18" s="1" t="str">
        <f t="shared" si="0"/>
        <v/>
      </c>
      <c r="L18" s="1" t="str">
        <f t="shared" si="1"/>
        <v/>
      </c>
    </row>
    <row r="19" spans="1:12" ht="13.5" customHeight="1" x14ac:dyDescent="0.25">
      <c r="A19" s="5" t="s">
        <v>411</v>
      </c>
      <c r="B19" s="23"/>
      <c r="C19" s="6"/>
      <c r="D19" s="6"/>
      <c r="E19" s="19"/>
      <c r="F19" s="19"/>
      <c r="G19" s="6"/>
      <c r="H19" s="6"/>
      <c r="I19" s="6"/>
      <c r="J19" s="1" t="str">
        <f>IF(B19="","",COUNTIF($B$6:B19,B19))</f>
        <v/>
      </c>
      <c r="K19" s="1" t="str">
        <f t="shared" si="0"/>
        <v/>
      </c>
      <c r="L19" s="1" t="str">
        <f t="shared" si="1"/>
        <v/>
      </c>
    </row>
    <row r="20" spans="1:12" ht="13.5" customHeight="1" x14ac:dyDescent="0.25">
      <c r="A20" s="5" t="s">
        <v>411</v>
      </c>
      <c r="B20" s="23"/>
      <c r="C20" s="6"/>
      <c r="D20" s="6"/>
      <c r="E20" s="19"/>
      <c r="F20" s="19"/>
      <c r="G20" s="6"/>
      <c r="H20" s="6"/>
      <c r="I20" s="6"/>
      <c r="J20" s="1" t="str">
        <f>IF(B20="","",COUNTIF($B$6:B20,B20))</f>
        <v/>
      </c>
      <c r="K20" s="1" t="str">
        <f t="shared" si="0"/>
        <v/>
      </c>
      <c r="L20" s="1" t="str">
        <f t="shared" si="1"/>
        <v/>
      </c>
    </row>
    <row r="21" spans="1:12" ht="13.5" customHeight="1" x14ac:dyDescent="0.25">
      <c r="A21" s="5" t="s">
        <v>411</v>
      </c>
      <c r="B21" s="23"/>
      <c r="C21" s="6"/>
      <c r="D21" s="6"/>
      <c r="E21" s="19"/>
      <c r="F21" s="19"/>
      <c r="G21" s="6"/>
      <c r="H21" s="6"/>
      <c r="I21" s="6"/>
      <c r="J21" s="1" t="str">
        <f>IF(B21="","",COUNTIF($B$6:B21,B21))</f>
        <v/>
      </c>
      <c r="K21" s="1" t="str">
        <f t="shared" si="0"/>
        <v/>
      </c>
      <c r="L21" s="1" t="str">
        <f t="shared" si="1"/>
        <v/>
      </c>
    </row>
    <row r="22" spans="1:12" ht="13.5" customHeight="1" x14ac:dyDescent="0.25">
      <c r="A22" s="5" t="s">
        <v>411</v>
      </c>
      <c r="B22" s="23"/>
      <c r="C22" s="6"/>
      <c r="D22" s="6"/>
      <c r="E22" s="19"/>
      <c r="F22" s="19"/>
      <c r="G22" s="6"/>
      <c r="H22" s="6"/>
      <c r="I22" s="6"/>
      <c r="J22" s="1" t="str">
        <f>IF(B22="","",COUNTIF($B$6:B22,B22))</f>
        <v/>
      </c>
      <c r="K22" s="1" t="str">
        <f t="shared" si="0"/>
        <v/>
      </c>
      <c r="L22" s="1" t="str">
        <f t="shared" si="1"/>
        <v/>
      </c>
    </row>
    <row r="23" spans="1:12" ht="13.5" customHeight="1" x14ac:dyDescent="0.25">
      <c r="A23" s="5" t="s">
        <v>411</v>
      </c>
      <c r="B23" s="23"/>
      <c r="C23" s="6"/>
      <c r="D23" s="6"/>
      <c r="E23" s="19"/>
      <c r="F23" s="19"/>
      <c r="G23" s="6"/>
      <c r="H23" s="6"/>
      <c r="I23" s="6"/>
      <c r="J23" s="1" t="str">
        <f>IF(B23="","",COUNTIF($B$6:B23,B23))</f>
        <v/>
      </c>
      <c r="K23" s="1" t="str">
        <f t="shared" si="0"/>
        <v/>
      </c>
      <c r="L23" s="1" t="str">
        <f t="shared" si="1"/>
        <v/>
      </c>
    </row>
    <row r="24" spans="1:12" ht="13.5" customHeight="1" x14ac:dyDescent="0.25">
      <c r="A24" s="5" t="s">
        <v>411</v>
      </c>
      <c r="B24" s="23"/>
      <c r="C24" s="6"/>
      <c r="D24" s="6"/>
      <c r="E24" s="19"/>
      <c r="F24" s="19"/>
      <c r="G24" s="6"/>
      <c r="H24" s="6"/>
      <c r="I24" s="6"/>
      <c r="J24" s="1" t="str">
        <f>IF(B24="","",COUNTIF($B$6:B24,B24))</f>
        <v/>
      </c>
      <c r="K24" s="1" t="str">
        <f t="shared" si="0"/>
        <v/>
      </c>
      <c r="L24" s="1" t="str">
        <f t="shared" si="1"/>
        <v/>
      </c>
    </row>
    <row r="25" spans="1:12" ht="13.5" customHeight="1" x14ac:dyDescent="0.25">
      <c r="A25" s="5" t="s">
        <v>411</v>
      </c>
      <c r="B25" s="23"/>
      <c r="C25" s="6"/>
      <c r="D25" s="6"/>
      <c r="E25" s="19"/>
      <c r="F25" s="19"/>
      <c r="G25" s="6"/>
      <c r="H25" s="6"/>
      <c r="I25" s="6"/>
      <c r="J25" s="1" t="str">
        <f>IF(B25="","",COUNTIF($B$6:B25,B25))</f>
        <v/>
      </c>
      <c r="K25" s="1" t="str">
        <f t="shared" si="0"/>
        <v/>
      </c>
      <c r="L25" s="1" t="str">
        <f t="shared" si="1"/>
        <v/>
      </c>
    </row>
    <row r="26" spans="1:12" ht="13.5" customHeight="1" x14ac:dyDescent="0.25">
      <c r="A26" s="5" t="s">
        <v>411</v>
      </c>
      <c r="B26" s="23"/>
      <c r="C26" s="6"/>
      <c r="D26" s="6"/>
      <c r="E26" s="19"/>
      <c r="F26" s="19"/>
      <c r="G26" s="6"/>
      <c r="H26" s="6"/>
      <c r="I26" s="6"/>
      <c r="J26" s="1" t="str">
        <f>IF(B26="","",COUNTIF($B$6:B26,B26))</f>
        <v/>
      </c>
      <c r="K26" s="1" t="str">
        <f t="shared" si="0"/>
        <v/>
      </c>
      <c r="L26" s="1" t="str">
        <f t="shared" si="1"/>
        <v/>
      </c>
    </row>
    <row r="27" spans="1:12" ht="13.5" customHeight="1" x14ac:dyDescent="0.25">
      <c r="A27" s="5" t="s">
        <v>411</v>
      </c>
      <c r="B27" s="23"/>
      <c r="C27" s="6"/>
      <c r="D27" s="6"/>
      <c r="E27" s="19"/>
      <c r="F27" s="19"/>
      <c r="G27" s="6"/>
      <c r="H27" s="6"/>
      <c r="I27" s="6"/>
      <c r="J27" s="1" t="str">
        <f>IF(B27="","",COUNTIF($B$6:B27,B27))</f>
        <v/>
      </c>
      <c r="K27" s="1" t="str">
        <f t="shared" si="0"/>
        <v/>
      </c>
      <c r="L27" s="1" t="str">
        <f t="shared" si="1"/>
        <v/>
      </c>
    </row>
    <row r="28" spans="1:12" ht="13.5" customHeight="1" x14ac:dyDescent="0.25">
      <c r="A28" s="5" t="s">
        <v>411</v>
      </c>
      <c r="B28" s="23"/>
      <c r="C28" s="6"/>
      <c r="D28" s="6"/>
      <c r="E28" s="19"/>
      <c r="F28" s="19"/>
      <c r="G28" s="6"/>
      <c r="H28" s="6"/>
      <c r="I28" s="6"/>
      <c r="J28" s="1" t="str">
        <f>IF(B28="","",COUNTIF($B$6:B28,B28))</f>
        <v/>
      </c>
      <c r="K28" s="1" t="str">
        <f t="shared" si="0"/>
        <v/>
      </c>
      <c r="L28" s="1" t="str">
        <f t="shared" si="1"/>
        <v/>
      </c>
    </row>
    <row r="29" spans="1:12" ht="13.5" customHeight="1" x14ac:dyDescent="0.25">
      <c r="A29" s="5" t="s">
        <v>411</v>
      </c>
      <c r="B29" s="23"/>
      <c r="C29" s="6"/>
      <c r="D29" s="6"/>
      <c r="E29" s="19"/>
      <c r="F29" s="19"/>
      <c r="G29" s="6"/>
      <c r="H29" s="6"/>
      <c r="I29" s="6"/>
      <c r="J29" s="1" t="str">
        <f>IF(B29="","",COUNTIF($B$6:B29,B29))</f>
        <v/>
      </c>
      <c r="K29" s="1" t="str">
        <f t="shared" si="0"/>
        <v/>
      </c>
      <c r="L29" s="1" t="str">
        <f t="shared" si="1"/>
        <v/>
      </c>
    </row>
    <row r="30" spans="1:12" ht="13.5" customHeight="1" x14ac:dyDescent="0.25">
      <c r="A30" s="5" t="s">
        <v>411</v>
      </c>
      <c r="B30" s="23"/>
      <c r="C30" s="6"/>
      <c r="D30" s="6"/>
      <c r="E30" s="19"/>
      <c r="F30" s="19"/>
      <c r="G30" s="6"/>
      <c r="H30" s="6"/>
      <c r="I30" s="6"/>
      <c r="J30" s="1" t="str">
        <f>IF(B30="","",COUNTIF($B$6:B30,B30))</f>
        <v/>
      </c>
      <c r="K30" s="1" t="str">
        <f t="shared" si="0"/>
        <v/>
      </c>
      <c r="L30" s="1" t="str">
        <f t="shared" si="1"/>
        <v/>
      </c>
    </row>
    <row r="31" spans="1:12" ht="13.5" customHeight="1" x14ac:dyDescent="0.25">
      <c r="A31" s="5" t="s">
        <v>411</v>
      </c>
      <c r="B31" s="23"/>
      <c r="C31" s="6"/>
      <c r="D31" s="6"/>
      <c r="E31" s="19"/>
      <c r="F31" s="19"/>
      <c r="G31" s="6"/>
      <c r="H31" s="6"/>
      <c r="I31" s="6"/>
      <c r="J31" s="1" t="str">
        <f>IF(B31="","",COUNTIF($B$6:B31,B31))</f>
        <v/>
      </c>
      <c r="K31" s="1" t="str">
        <f t="shared" si="0"/>
        <v/>
      </c>
      <c r="L31" s="1" t="str">
        <f t="shared" si="1"/>
        <v/>
      </c>
    </row>
    <row r="32" spans="1:12" ht="13.5" customHeight="1" x14ac:dyDescent="0.25">
      <c r="A32" s="5" t="s">
        <v>411</v>
      </c>
      <c r="B32" s="23"/>
      <c r="C32" s="6"/>
      <c r="D32" s="6"/>
      <c r="E32" s="19"/>
      <c r="F32" s="19"/>
      <c r="G32" s="6"/>
      <c r="H32" s="6"/>
      <c r="I32" s="6"/>
      <c r="J32" s="1" t="str">
        <f>IF(B32="","",COUNTIF($B$6:B32,B32))</f>
        <v/>
      </c>
      <c r="K32" s="1" t="str">
        <f t="shared" si="0"/>
        <v/>
      </c>
      <c r="L32" s="1" t="str">
        <f t="shared" si="1"/>
        <v/>
      </c>
    </row>
    <row r="33" spans="1:12" ht="13.5" customHeight="1" x14ac:dyDescent="0.25">
      <c r="A33" s="5" t="s">
        <v>411</v>
      </c>
      <c r="B33" s="23"/>
      <c r="C33" s="6"/>
      <c r="D33" s="6"/>
      <c r="E33" s="19"/>
      <c r="F33" s="19"/>
      <c r="G33" s="6"/>
      <c r="H33" s="6"/>
      <c r="I33" s="6"/>
      <c r="J33" s="1" t="str">
        <f>IF(B33="","",COUNTIF($B$6:B33,B33))</f>
        <v/>
      </c>
      <c r="K33" s="1" t="str">
        <f t="shared" si="0"/>
        <v/>
      </c>
      <c r="L33" s="1" t="str">
        <f t="shared" si="1"/>
        <v/>
      </c>
    </row>
    <row r="34" spans="1:12" ht="13.5" customHeight="1" x14ac:dyDescent="0.25">
      <c r="A34" s="5" t="s">
        <v>411</v>
      </c>
      <c r="B34" s="23"/>
      <c r="C34" s="6"/>
      <c r="D34" s="6"/>
      <c r="E34" s="19"/>
      <c r="F34" s="19"/>
      <c r="G34" s="6"/>
      <c r="H34" s="6"/>
      <c r="I34" s="6"/>
      <c r="J34" s="1" t="str">
        <f>IF(B34="","",COUNTIF($B$6:B34,B34))</f>
        <v/>
      </c>
      <c r="K34" s="1" t="str">
        <f t="shared" si="0"/>
        <v/>
      </c>
      <c r="L34" s="1" t="str">
        <f t="shared" si="1"/>
        <v/>
      </c>
    </row>
    <row r="35" spans="1:12" ht="13.5" customHeight="1" x14ac:dyDescent="0.25">
      <c r="A35" s="5" t="s">
        <v>411</v>
      </c>
      <c r="B35" s="23"/>
      <c r="C35" s="6"/>
      <c r="D35" s="6"/>
      <c r="E35" s="19"/>
      <c r="F35" s="19"/>
      <c r="G35" s="6"/>
      <c r="H35" s="6"/>
      <c r="I35" s="6"/>
      <c r="J35" s="1" t="str">
        <f>IF(B35="","",COUNTIF($B$6:B35,B35))</f>
        <v/>
      </c>
      <c r="K35" s="1" t="str">
        <f t="shared" si="0"/>
        <v/>
      </c>
      <c r="L35" s="1" t="str">
        <f t="shared" si="1"/>
        <v/>
      </c>
    </row>
    <row r="36" spans="1:12" ht="13.5" customHeight="1" x14ac:dyDescent="0.25">
      <c r="A36" s="5" t="s">
        <v>411</v>
      </c>
      <c r="B36" s="23"/>
      <c r="C36" s="6"/>
      <c r="D36" s="6"/>
      <c r="E36" s="19"/>
      <c r="F36" s="19"/>
      <c r="G36" s="6"/>
      <c r="H36" s="6"/>
      <c r="I36" s="6"/>
      <c r="J36" s="1" t="str">
        <f>IF(B36="","",COUNTIF($B$6:B36,B36))</f>
        <v/>
      </c>
      <c r="K36" s="1" t="str">
        <f t="shared" si="0"/>
        <v/>
      </c>
      <c r="L36" s="1" t="str">
        <f t="shared" si="1"/>
        <v/>
      </c>
    </row>
    <row r="37" spans="1:12" ht="13.5" customHeight="1" x14ac:dyDescent="0.25">
      <c r="A37" s="5" t="s">
        <v>411</v>
      </c>
      <c r="B37" s="23"/>
      <c r="C37" s="6"/>
      <c r="D37" s="6"/>
      <c r="E37" s="19"/>
      <c r="F37" s="19"/>
      <c r="G37" s="6"/>
      <c r="H37" s="6"/>
      <c r="I37" s="6"/>
      <c r="J37" s="1" t="str">
        <f>IF(B37="","",COUNTIF($B$6:B37,B37))</f>
        <v/>
      </c>
      <c r="K37" s="1" t="str">
        <f t="shared" si="0"/>
        <v/>
      </c>
      <c r="L37" s="1" t="str">
        <f t="shared" si="1"/>
        <v/>
      </c>
    </row>
    <row r="38" spans="1:12" ht="13.5" customHeight="1" x14ac:dyDescent="0.25">
      <c r="A38" s="5" t="s">
        <v>411</v>
      </c>
      <c r="B38" s="23"/>
      <c r="C38" s="6"/>
      <c r="D38" s="6"/>
      <c r="E38" s="19"/>
      <c r="F38" s="19"/>
      <c r="G38" s="6"/>
      <c r="H38" s="6"/>
      <c r="I38" s="6"/>
      <c r="J38" s="1" t="str">
        <f>IF(B38="","",COUNTIF($B$6:B38,B38))</f>
        <v/>
      </c>
      <c r="K38" s="1" t="str">
        <f t="shared" ref="K38:K66" si="2">IF(B38="","",B38&amp;"-"&amp;J38)</f>
        <v/>
      </c>
      <c r="L38" s="1" t="str">
        <f t="shared" ref="L38:L66" si="3">IF(B38="","",_xlfn.TEXTJOIN("|",FALSE(),A38:I38))</f>
        <v/>
      </c>
    </row>
    <row r="39" spans="1:12" ht="13.5" customHeight="1" x14ac:dyDescent="0.25">
      <c r="A39" s="5" t="s">
        <v>411</v>
      </c>
      <c r="B39" s="23"/>
      <c r="C39" s="6"/>
      <c r="D39" s="6"/>
      <c r="E39" s="19"/>
      <c r="F39" s="19"/>
      <c r="G39" s="6"/>
      <c r="H39" s="6"/>
      <c r="I39" s="6"/>
      <c r="J39" s="1" t="str">
        <f>IF(B39="","",COUNTIF($B$6:B39,B39))</f>
        <v/>
      </c>
      <c r="K39" s="1" t="str">
        <f t="shared" si="2"/>
        <v/>
      </c>
      <c r="L39" s="1" t="str">
        <f t="shared" si="3"/>
        <v/>
      </c>
    </row>
    <row r="40" spans="1:12" ht="13.5" customHeight="1" x14ac:dyDescent="0.25">
      <c r="A40" s="5" t="s">
        <v>411</v>
      </c>
      <c r="B40" s="23"/>
      <c r="C40" s="6"/>
      <c r="D40" s="6"/>
      <c r="E40" s="19"/>
      <c r="F40" s="19"/>
      <c r="G40" s="6"/>
      <c r="H40" s="6"/>
      <c r="I40" s="6"/>
      <c r="J40" s="1" t="str">
        <f>IF(B40="","",COUNTIF($B$6:B40,B40))</f>
        <v/>
      </c>
      <c r="K40" s="1" t="str">
        <f t="shared" si="2"/>
        <v/>
      </c>
      <c r="L40" s="1" t="str">
        <f t="shared" si="3"/>
        <v/>
      </c>
    </row>
    <row r="41" spans="1:12" ht="13.5" customHeight="1" x14ac:dyDescent="0.25">
      <c r="A41" s="5" t="s">
        <v>411</v>
      </c>
      <c r="B41" s="23"/>
      <c r="C41" s="6"/>
      <c r="D41" s="6"/>
      <c r="E41" s="19"/>
      <c r="F41" s="19"/>
      <c r="G41" s="6"/>
      <c r="H41" s="6"/>
      <c r="I41" s="6"/>
      <c r="J41" s="1" t="str">
        <f>IF(B41="","",COUNTIF($B$6:B41,B41))</f>
        <v/>
      </c>
      <c r="K41" s="1" t="str">
        <f t="shared" si="2"/>
        <v/>
      </c>
      <c r="L41" s="1" t="str">
        <f t="shared" si="3"/>
        <v/>
      </c>
    </row>
    <row r="42" spans="1:12" ht="13.5" customHeight="1" x14ac:dyDescent="0.25">
      <c r="A42" s="5" t="s">
        <v>411</v>
      </c>
      <c r="B42" s="23"/>
      <c r="C42" s="6"/>
      <c r="D42" s="6"/>
      <c r="E42" s="19"/>
      <c r="F42" s="19"/>
      <c r="G42" s="6"/>
      <c r="H42" s="6"/>
      <c r="I42" s="6"/>
      <c r="J42" s="1" t="str">
        <f>IF(B42="","",COUNTIF($B$6:B42,B42))</f>
        <v/>
      </c>
      <c r="K42" s="1" t="str">
        <f t="shared" si="2"/>
        <v/>
      </c>
      <c r="L42" s="1" t="str">
        <f t="shared" si="3"/>
        <v/>
      </c>
    </row>
    <row r="43" spans="1:12" ht="13.5" customHeight="1" x14ac:dyDescent="0.25">
      <c r="A43" s="5" t="s">
        <v>411</v>
      </c>
      <c r="B43" s="23"/>
      <c r="C43" s="6"/>
      <c r="D43" s="6"/>
      <c r="E43" s="19"/>
      <c r="F43" s="19"/>
      <c r="G43" s="6"/>
      <c r="H43" s="6"/>
      <c r="I43" s="6"/>
      <c r="J43" s="1" t="str">
        <f>IF(B43="","",COUNTIF($B$6:B43,B43))</f>
        <v/>
      </c>
      <c r="K43" s="1" t="str">
        <f t="shared" si="2"/>
        <v/>
      </c>
      <c r="L43" s="1" t="str">
        <f t="shared" si="3"/>
        <v/>
      </c>
    </row>
    <row r="44" spans="1:12" ht="13.5" customHeight="1" x14ac:dyDescent="0.25">
      <c r="A44" s="5" t="s">
        <v>411</v>
      </c>
      <c r="B44" s="23"/>
      <c r="C44" s="6"/>
      <c r="D44" s="6"/>
      <c r="E44" s="19"/>
      <c r="F44" s="19"/>
      <c r="G44" s="6"/>
      <c r="H44" s="6"/>
      <c r="I44" s="6"/>
      <c r="J44" s="1" t="str">
        <f>IF(B44="","",COUNTIF($B$6:B44,B44))</f>
        <v/>
      </c>
      <c r="K44" s="1" t="str">
        <f t="shared" si="2"/>
        <v/>
      </c>
      <c r="L44" s="1" t="str">
        <f t="shared" si="3"/>
        <v/>
      </c>
    </row>
    <row r="45" spans="1:12" ht="13.5" customHeight="1" x14ac:dyDescent="0.25">
      <c r="A45" s="5" t="s">
        <v>411</v>
      </c>
      <c r="B45" s="23"/>
      <c r="C45" s="6"/>
      <c r="D45" s="6"/>
      <c r="E45" s="19"/>
      <c r="F45" s="19"/>
      <c r="G45" s="6"/>
      <c r="H45" s="6"/>
      <c r="I45" s="6"/>
      <c r="J45" s="1" t="str">
        <f>IF(B45="","",COUNTIF($B$6:B45,B45))</f>
        <v/>
      </c>
      <c r="K45" s="1" t="str">
        <f t="shared" si="2"/>
        <v/>
      </c>
      <c r="L45" s="1" t="str">
        <f t="shared" si="3"/>
        <v/>
      </c>
    </row>
    <row r="46" spans="1:12" ht="13.5" customHeight="1" x14ac:dyDescent="0.25">
      <c r="A46" s="5" t="s">
        <v>411</v>
      </c>
      <c r="B46" s="23"/>
      <c r="C46" s="6"/>
      <c r="D46" s="6"/>
      <c r="E46" s="19"/>
      <c r="F46" s="19"/>
      <c r="G46" s="6"/>
      <c r="H46" s="6"/>
      <c r="I46" s="6"/>
      <c r="J46" s="1" t="str">
        <f>IF(B46="","",COUNTIF($B$6:B46,B46))</f>
        <v/>
      </c>
      <c r="K46" s="1" t="str">
        <f t="shared" si="2"/>
        <v/>
      </c>
      <c r="L46" s="1" t="str">
        <f t="shared" si="3"/>
        <v/>
      </c>
    </row>
    <row r="47" spans="1:12" ht="13.5" customHeight="1" x14ac:dyDescent="0.25">
      <c r="A47" s="5" t="s">
        <v>411</v>
      </c>
      <c r="B47" s="23"/>
      <c r="C47" s="6"/>
      <c r="D47" s="6"/>
      <c r="E47" s="19"/>
      <c r="F47" s="19"/>
      <c r="G47" s="6"/>
      <c r="H47" s="6"/>
      <c r="I47" s="6"/>
      <c r="J47" s="1" t="str">
        <f>IF(B47="","",COUNTIF($B$6:B47,B47))</f>
        <v/>
      </c>
      <c r="K47" s="1" t="str">
        <f t="shared" si="2"/>
        <v/>
      </c>
      <c r="L47" s="1" t="str">
        <f t="shared" si="3"/>
        <v/>
      </c>
    </row>
    <row r="48" spans="1:12" ht="13.5" customHeight="1" x14ac:dyDescent="0.25">
      <c r="A48" s="5" t="s">
        <v>411</v>
      </c>
      <c r="B48" s="23"/>
      <c r="C48" s="6"/>
      <c r="D48" s="6"/>
      <c r="E48" s="19"/>
      <c r="F48" s="19"/>
      <c r="G48" s="6"/>
      <c r="H48" s="6"/>
      <c r="I48" s="6"/>
      <c r="J48" s="1" t="str">
        <f>IF(B48="","",COUNTIF($B$6:B48,B48))</f>
        <v/>
      </c>
      <c r="K48" s="1" t="str">
        <f t="shared" si="2"/>
        <v/>
      </c>
      <c r="L48" s="1" t="str">
        <f t="shared" si="3"/>
        <v/>
      </c>
    </row>
    <row r="49" spans="1:12" ht="13.5" customHeight="1" x14ac:dyDescent="0.25">
      <c r="A49" s="5" t="s">
        <v>411</v>
      </c>
      <c r="B49" s="23"/>
      <c r="C49" s="6"/>
      <c r="D49" s="6"/>
      <c r="E49" s="19"/>
      <c r="F49" s="19"/>
      <c r="G49" s="6"/>
      <c r="H49" s="6"/>
      <c r="I49" s="6"/>
      <c r="J49" s="1" t="str">
        <f>IF(B49="","",COUNTIF($B$6:B49,B49))</f>
        <v/>
      </c>
      <c r="K49" s="1" t="str">
        <f t="shared" si="2"/>
        <v/>
      </c>
      <c r="L49" s="1" t="str">
        <f t="shared" si="3"/>
        <v/>
      </c>
    </row>
    <row r="50" spans="1:12" ht="13.5" customHeight="1" x14ac:dyDescent="0.25">
      <c r="A50" s="5" t="s">
        <v>411</v>
      </c>
      <c r="B50" s="23"/>
      <c r="C50" s="6"/>
      <c r="D50" s="6"/>
      <c r="E50" s="19"/>
      <c r="F50" s="19"/>
      <c r="G50" s="6"/>
      <c r="H50" s="6"/>
      <c r="I50" s="6"/>
      <c r="J50" s="1" t="str">
        <f>IF(B50="","",COUNTIF($B$6:B50,B50))</f>
        <v/>
      </c>
      <c r="K50" s="1" t="str">
        <f t="shared" si="2"/>
        <v/>
      </c>
      <c r="L50" s="1" t="str">
        <f t="shared" si="3"/>
        <v/>
      </c>
    </row>
    <row r="51" spans="1:12" ht="13.5" customHeight="1" x14ac:dyDescent="0.25">
      <c r="A51" s="5" t="s">
        <v>411</v>
      </c>
      <c r="B51" s="23"/>
      <c r="C51" s="6"/>
      <c r="D51" s="6"/>
      <c r="E51" s="19"/>
      <c r="F51" s="19"/>
      <c r="G51" s="6"/>
      <c r="H51" s="6"/>
      <c r="I51" s="6"/>
      <c r="J51" s="1" t="str">
        <f>IF(B51="","",COUNTIF($B$6:B51,B51))</f>
        <v/>
      </c>
      <c r="K51" s="1" t="str">
        <f t="shared" si="2"/>
        <v/>
      </c>
      <c r="L51" s="1" t="str">
        <f t="shared" si="3"/>
        <v/>
      </c>
    </row>
    <row r="52" spans="1:12" ht="13.5" customHeight="1" x14ac:dyDescent="0.25">
      <c r="A52" s="5" t="s">
        <v>411</v>
      </c>
      <c r="B52" s="23"/>
      <c r="C52" s="6"/>
      <c r="D52" s="6"/>
      <c r="E52" s="19"/>
      <c r="F52" s="19"/>
      <c r="G52" s="6"/>
      <c r="H52" s="6"/>
      <c r="I52" s="6"/>
      <c r="J52" s="1" t="str">
        <f>IF(B52="","",COUNTIF($B$6:B52,B52))</f>
        <v/>
      </c>
      <c r="K52" s="1" t="str">
        <f t="shared" si="2"/>
        <v/>
      </c>
      <c r="L52" s="1" t="str">
        <f t="shared" si="3"/>
        <v/>
      </c>
    </row>
    <row r="53" spans="1:12" ht="13.5" customHeight="1" x14ac:dyDescent="0.25">
      <c r="A53" s="5" t="s">
        <v>411</v>
      </c>
      <c r="B53" s="23"/>
      <c r="C53" s="6"/>
      <c r="D53" s="6"/>
      <c r="E53" s="19"/>
      <c r="F53" s="19"/>
      <c r="G53" s="6"/>
      <c r="H53" s="6"/>
      <c r="I53" s="6"/>
      <c r="J53" s="1" t="str">
        <f>IF(B53="","",COUNTIF($B$6:B53,B53))</f>
        <v/>
      </c>
      <c r="K53" s="1" t="str">
        <f t="shared" si="2"/>
        <v/>
      </c>
      <c r="L53" s="1" t="str">
        <f t="shared" si="3"/>
        <v/>
      </c>
    </row>
    <row r="54" spans="1:12" ht="13.5" customHeight="1" x14ac:dyDescent="0.25">
      <c r="A54" s="5" t="s">
        <v>411</v>
      </c>
      <c r="B54" s="23"/>
      <c r="C54" s="6"/>
      <c r="D54" s="6"/>
      <c r="E54" s="19"/>
      <c r="F54" s="19"/>
      <c r="G54" s="6"/>
      <c r="H54" s="6"/>
      <c r="I54" s="6"/>
      <c r="J54" s="1" t="str">
        <f>IF(B54="","",COUNTIF($B$6:B54,B54))</f>
        <v/>
      </c>
      <c r="K54" s="1" t="str">
        <f t="shared" si="2"/>
        <v/>
      </c>
      <c r="L54" s="1" t="str">
        <f t="shared" si="3"/>
        <v/>
      </c>
    </row>
    <row r="55" spans="1:12" ht="13.5" customHeight="1" x14ac:dyDescent="0.25">
      <c r="A55" s="5" t="s">
        <v>411</v>
      </c>
      <c r="B55" s="23"/>
      <c r="C55" s="6"/>
      <c r="D55" s="6"/>
      <c r="E55" s="19"/>
      <c r="F55" s="19"/>
      <c r="G55" s="6"/>
      <c r="H55" s="6"/>
      <c r="I55" s="6"/>
      <c r="J55" s="1" t="str">
        <f>IF(B55="","",COUNTIF($B$6:B55,B55))</f>
        <v/>
      </c>
      <c r="K55" s="1" t="str">
        <f t="shared" si="2"/>
        <v/>
      </c>
      <c r="L55" s="1" t="str">
        <f t="shared" si="3"/>
        <v/>
      </c>
    </row>
    <row r="56" spans="1:12" ht="13.5" customHeight="1" x14ac:dyDescent="0.25">
      <c r="A56" s="5" t="s">
        <v>411</v>
      </c>
      <c r="B56" s="23"/>
      <c r="C56" s="6"/>
      <c r="D56" s="6"/>
      <c r="E56" s="19"/>
      <c r="F56" s="19"/>
      <c r="G56" s="6"/>
      <c r="H56" s="6"/>
      <c r="I56" s="6"/>
      <c r="J56" s="1" t="str">
        <f>IF(B56="","",COUNTIF($B$6:B56,B56))</f>
        <v/>
      </c>
      <c r="K56" s="1" t="str">
        <f t="shared" si="2"/>
        <v/>
      </c>
      <c r="L56" s="1" t="str">
        <f t="shared" si="3"/>
        <v/>
      </c>
    </row>
    <row r="57" spans="1:12" ht="13.5" customHeight="1" x14ac:dyDescent="0.25">
      <c r="A57" s="5" t="s">
        <v>411</v>
      </c>
      <c r="B57" s="23"/>
      <c r="C57" s="6"/>
      <c r="D57" s="6"/>
      <c r="E57" s="19"/>
      <c r="F57" s="19"/>
      <c r="G57" s="6"/>
      <c r="H57" s="6"/>
      <c r="I57" s="6"/>
      <c r="J57" s="1" t="str">
        <f>IF(B57="","",COUNTIF($B$6:B57,B57))</f>
        <v/>
      </c>
      <c r="K57" s="1" t="str">
        <f t="shared" si="2"/>
        <v/>
      </c>
      <c r="L57" s="1" t="str">
        <f t="shared" si="3"/>
        <v/>
      </c>
    </row>
    <row r="58" spans="1:12" ht="13.5" customHeight="1" x14ac:dyDescent="0.25">
      <c r="A58" s="5" t="s">
        <v>411</v>
      </c>
      <c r="B58" s="23"/>
      <c r="C58" s="6"/>
      <c r="D58" s="6"/>
      <c r="E58" s="19"/>
      <c r="F58" s="19"/>
      <c r="G58" s="6"/>
      <c r="H58" s="6"/>
      <c r="I58" s="6"/>
      <c r="J58" s="1" t="str">
        <f>IF(B58="","",COUNTIF($B$6:B58,B58))</f>
        <v/>
      </c>
      <c r="K58" s="1" t="str">
        <f t="shared" si="2"/>
        <v/>
      </c>
      <c r="L58" s="1" t="str">
        <f t="shared" si="3"/>
        <v/>
      </c>
    </row>
    <row r="59" spans="1:12" ht="13.5" customHeight="1" x14ac:dyDescent="0.25">
      <c r="A59" s="5" t="s">
        <v>411</v>
      </c>
      <c r="B59" s="23"/>
      <c r="C59" s="6"/>
      <c r="D59" s="6"/>
      <c r="E59" s="19"/>
      <c r="F59" s="19"/>
      <c r="G59" s="6"/>
      <c r="H59" s="6"/>
      <c r="I59" s="6"/>
      <c r="J59" s="1" t="str">
        <f>IF(B59="","",COUNTIF($B$6:B59,B59))</f>
        <v/>
      </c>
      <c r="K59" s="1" t="str">
        <f t="shared" si="2"/>
        <v/>
      </c>
      <c r="L59" s="1" t="str">
        <f t="shared" si="3"/>
        <v/>
      </c>
    </row>
    <row r="60" spans="1:12" ht="13.5" customHeight="1" x14ac:dyDescent="0.25">
      <c r="A60" s="5" t="s">
        <v>411</v>
      </c>
      <c r="B60" s="23"/>
      <c r="C60" s="6"/>
      <c r="D60" s="6"/>
      <c r="E60" s="19"/>
      <c r="F60" s="19"/>
      <c r="G60" s="6"/>
      <c r="H60" s="6"/>
      <c r="I60" s="6"/>
      <c r="J60" s="1" t="str">
        <f>IF(B60="","",COUNTIF($B$6:B60,B60))</f>
        <v/>
      </c>
      <c r="K60" s="1" t="str">
        <f t="shared" si="2"/>
        <v/>
      </c>
      <c r="L60" s="1" t="str">
        <f t="shared" si="3"/>
        <v/>
      </c>
    </row>
    <row r="61" spans="1:12" ht="13.5" customHeight="1" x14ac:dyDescent="0.25">
      <c r="A61" s="5" t="s">
        <v>411</v>
      </c>
      <c r="B61" s="23"/>
      <c r="C61" s="6"/>
      <c r="D61" s="6"/>
      <c r="E61" s="19"/>
      <c r="F61" s="19"/>
      <c r="G61" s="6"/>
      <c r="H61" s="6"/>
      <c r="I61" s="6"/>
      <c r="J61" s="1" t="str">
        <f>IF(B61="","",COUNTIF($B$6:B61,B61))</f>
        <v/>
      </c>
      <c r="K61" s="1" t="str">
        <f t="shared" si="2"/>
        <v/>
      </c>
      <c r="L61" s="1" t="str">
        <f t="shared" si="3"/>
        <v/>
      </c>
    </row>
    <row r="62" spans="1:12" ht="13.5" customHeight="1" x14ac:dyDescent="0.25">
      <c r="A62" s="5" t="s">
        <v>411</v>
      </c>
      <c r="B62" s="23"/>
      <c r="C62" s="6"/>
      <c r="D62" s="6"/>
      <c r="E62" s="19"/>
      <c r="F62" s="19"/>
      <c r="G62" s="6"/>
      <c r="H62" s="6"/>
      <c r="I62" s="6"/>
      <c r="J62" s="1" t="str">
        <f>IF(B62="","",COUNTIF($B$6:B62,B62))</f>
        <v/>
      </c>
      <c r="K62" s="1" t="str">
        <f t="shared" si="2"/>
        <v/>
      </c>
      <c r="L62" s="1" t="str">
        <f t="shared" si="3"/>
        <v/>
      </c>
    </row>
    <row r="63" spans="1:12" ht="13.5" customHeight="1" x14ac:dyDescent="0.25">
      <c r="A63" s="5" t="s">
        <v>411</v>
      </c>
      <c r="B63" s="23"/>
      <c r="C63" s="6"/>
      <c r="D63" s="6"/>
      <c r="E63" s="19"/>
      <c r="F63" s="19"/>
      <c r="G63" s="6"/>
      <c r="H63" s="6"/>
      <c r="I63" s="6"/>
      <c r="J63" s="1" t="str">
        <f>IF(B63="","",COUNTIF($B$6:B63,B63))</f>
        <v/>
      </c>
      <c r="K63" s="1" t="str">
        <f t="shared" si="2"/>
        <v/>
      </c>
      <c r="L63" s="1" t="str">
        <f t="shared" si="3"/>
        <v/>
      </c>
    </row>
    <row r="64" spans="1:12" ht="13.5" customHeight="1" x14ac:dyDescent="0.25">
      <c r="A64" s="5" t="s">
        <v>411</v>
      </c>
      <c r="B64" s="23"/>
      <c r="C64" s="6"/>
      <c r="D64" s="6"/>
      <c r="E64" s="19"/>
      <c r="F64" s="19"/>
      <c r="G64" s="6"/>
      <c r="H64" s="6"/>
      <c r="I64" s="6"/>
      <c r="J64" s="1" t="str">
        <f>IF(B64="","",COUNTIF($B$6:B64,B64))</f>
        <v/>
      </c>
      <c r="K64" s="1" t="str">
        <f t="shared" si="2"/>
        <v/>
      </c>
      <c r="L64" s="1" t="str">
        <f t="shared" si="3"/>
        <v/>
      </c>
    </row>
    <row r="65" spans="1:12" ht="13.5" customHeight="1" x14ac:dyDescent="0.25">
      <c r="A65" s="5" t="s">
        <v>411</v>
      </c>
      <c r="B65" s="23"/>
      <c r="C65" s="6"/>
      <c r="D65" s="6"/>
      <c r="E65" s="19"/>
      <c r="F65" s="19"/>
      <c r="G65" s="6"/>
      <c r="H65" s="6"/>
      <c r="I65" s="6"/>
      <c r="J65" s="1" t="str">
        <f>IF(B65="","",COUNTIF($B$6:B65,B65))</f>
        <v/>
      </c>
      <c r="K65" s="1" t="str">
        <f t="shared" si="2"/>
        <v/>
      </c>
      <c r="L65" s="1" t="str">
        <f t="shared" si="3"/>
        <v/>
      </c>
    </row>
    <row r="66" spans="1:12" ht="13.5" customHeight="1" x14ac:dyDescent="0.25">
      <c r="A66" s="5" t="s">
        <v>411</v>
      </c>
      <c r="B66" s="23"/>
      <c r="C66" s="6"/>
      <c r="D66" s="6"/>
      <c r="E66" s="19"/>
      <c r="F66" s="19"/>
      <c r="G66" s="6"/>
      <c r="H66" s="6"/>
      <c r="I66" s="6"/>
      <c r="J66" s="1" t="str">
        <f>IF(B66="","",COUNTIF($B$6:B66,B66))</f>
        <v/>
      </c>
      <c r="K66" s="1" t="str">
        <f t="shared" si="2"/>
        <v/>
      </c>
      <c r="L66" s="1" t="str">
        <f t="shared" si="3"/>
        <v/>
      </c>
    </row>
  </sheetData>
  <mergeCells count="1">
    <mergeCell ref="A1:I1"/>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errorTitle="Invalid entry" error="Please pick a value from the list" xr:uid="{00000000-0002-0000-0500-000000000000}">
          <x14:formula1>
            <xm:f>Masters!$AT$4:$AT$36</xm:f>
          </x14:formula1>
          <x14:formula2>
            <xm:f>0</xm:f>
          </x14:formula2>
          <xm:sqref>D6:D66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580"/>
  <sheetViews>
    <sheetView showGridLines="0" zoomScaleNormal="100" workbookViewId="0">
      <pane ySplit="3" topLeftCell="A4" activePane="bottomLeft" state="frozen"/>
      <selection pane="bottomLeft" activeCell="B4" sqref="B4"/>
    </sheetView>
  </sheetViews>
  <sheetFormatPr defaultColWidth="8.7109375" defaultRowHeight="15" x14ac:dyDescent="0.25"/>
  <cols>
    <col min="1" max="1" width="16" customWidth="1"/>
    <col min="2" max="2" width="140" customWidth="1"/>
  </cols>
  <sheetData>
    <row r="1" spans="1:3" ht="21.75" customHeight="1" x14ac:dyDescent="0.25">
      <c r="A1" s="32" t="s">
        <v>413</v>
      </c>
      <c r="B1" s="32"/>
      <c r="C1" s="32"/>
    </row>
    <row r="3" spans="1:3" ht="15" customHeight="1" x14ac:dyDescent="0.25">
      <c r="A3" s="24" t="s">
        <v>414</v>
      </c>
      <c r="B3" s="24" t="s">
        <v>415</v>
      </c>
    </row>
    <row r="4" spans="1:3" ht="15" customHeight="1" x14ac:dyDescent="0.25">
      <c r="A4" s="25" t="s">
        <v>416</v>
      </c>
      <c r="B4" s="26" t="str">
        <f>'Header (10)'!B16</f>
        <v>10|00001|IN7603|REGION13|1|29-08-2026|V1.3|01|||</v>
      </c>
    </row>
    <row r="5" spans="1:3" ht="15" customHeight="1" x14ac:dyDescent="0.25">
      <c r="A5" s="25" t="s">
        <v>417</v>
      </c>
      <c r="B5" s="26" t="str">
        <f>'Applicant (20)'!DS6</f>
        <v>20|1|01|BRANCH13|||||||||11||01||1|01|40037412143945|FIO|lego|ihfs|khda|||||||01|ikuhe|ukf|keu|kd|||||||M||||15-07-1982||||||||FORM60|01|1|1|34|AB1234567891234567|||uiahuh|usfwf|afea|Coimbatore|Coimbatore|TN|IN|641004|02||Y||uiahfiewufweiuh|usdahfiefwf|awefwfea|Coimbatore|Coimbatore|TN|IN|641004|02||||||||||||||||7709047001|||sameer.dalal@ltimindtree.com||01-08-2024|awefweawe|01-08-2024|02|waefwefwaa|sadfasd|fawefawef|sdfewa|FI Testing|IN6488|1|1|||2|||||</v>
      </c>
    </row>
    <row r="6" spans="1:3" ht="15" customHeight="1" x14ac:dyDescent="0.25">
      <c r="A6" s="27" t="s">
        <v>418</v>
      </c>
      <c r="B6" s="26" t="str">
        <f>IFERROR(INDEX('Identity (30)'!$O$6:$O$46,MATCH('Applicant (20)'!$A6&amp;"-"&amp;1,'Identity (30)'!$N$6:$N$46,0)),"")</f>
        <v>30|1|A|T134erYSTIN||||02||||</v>
      </c>
    </row>
    <row r="7" spans="1:3" ht="15" customHeight="1" x14ac:dyDescent="0.25">
      <c r="A7" s="27" t="s">
        <v>419</v>
      </c>
      <c r="B7" s="26" t="str">
        <f>IFERROR(INDEX('Identity (30)'!$O$6:$O$46,MATCH('Applicant (20)'!$A6&amp;"-"&amp;2,'Identity (30)'!$N$6:$N$46,0)),"")</f>
        <v/>
      </c>
    </row>
    <row r="8" spans="1:3" ht="15" customHeight="1" x14ac:dyDescent="0.25">
      <c r="A8" s="27" t="s">
        <v>420</v>
      </c>
      <c r="B8" s="26" t="str">
        <f>IFERROR(INDEX('Identity (30)'!$O$6:$O$46,MATCH('Applicant (20)'!$A6&amp;"-"&amp;3,'Identity (30)'!$N$6:$N$46,0)),"")</f>
        <v/>
      </c>
    </row>
    <row r="9" spans="1:3" ht="15" customHeight="1" x14ac:dyDescent="0.25">
      <c r="A9" s="27" t="s">
        <v>421</v>
      </c>
      <c r="B9" s="26" t="str">
        <f>IFERROR(INDEX('Identity (30)'!$O$6:$O$46,MATCH('Applicant (20)'!$A6&amp;"-"&amp;4,'Identity (30)'!$N$6:$N$46,0)),"")</f>
        <v/>
      </c>
    </row>
    <row r="10" spans="1:3" ht="15" customHeight="1" x14ac:dyDescent="0.25">
      <c r="A10" s="27" t="s">
        <v>422</v>
      </c>
      <c r="B10" s="26" t="str">
        <f>IFERROR(INDEX('Related Person (40)'!$CO$6:$CO$26,MATCH('Applicant (20)'!$A6&amp;"-"&amp;1,'Related Person (40)'!$CN$6:$CN$26,0)),"")</f>
        <v>40|1|1|01||||||||||||||||||||||||||||||||||||||||||||||||||||||||||||||||||||||||||||||||||||||</v>
      </c>
    </row>
    <row r="11" spans="1:3" ht="15" customHeight="1" x14ac:dyDescent="0.25">
      <c r="A11" s="27" t="s">
        <v>423</v>
      </c>
      <c r="B11" s="26" t="str">
        <f>IFERROR(INDEX('Related Person (40)'!$CO$6:$CO$26,MATCH('Applicant (20)'!$A6&amp;"-"&amp;2,'Related Person (40)'!$CN$6:$CN$26,0)),"")</f>
        <v/>
      </c>
    </row>
    <row r="12" spans="1:3" ht="15" customHeight="1" x14ac:dyDescent="0.25">
      <c r="A12" s="27" t="s">
        <v>424</v>
      </c>
      <c r="B12" s="26" t="str">
        <f>IFERROR(INDEX('Related Person (40)'!$CO$6:$CO$26,MATCH('Applicant (20)'!$A6&amp;"-"&amp;3,'Related Person (40)'!$CN$6:$CN$26,0)),"")</f>
        <v/>
      </c>
    </row>
    <row r="13" spans="1:3" ht="15" customHeight="1" x14ac:dyDescent="0.25">
      <c r="A13" s="27" t="s">
        <v>425</v>
      </c>
      <c r="B13" s="26" t="str">
        <f>IFERROR(INDEX('Images (70)'!$L$6:$L$66,MATCH('Applicant (20)'!$A6&amp;"-"&amp;1,'Images (70)'!$K$6:$K$66,0)),"")</f>
        <v>70|1|40037412143945_02_08082025142841.TIF|02|||||</v>
      </c>
    </row>
    <row r="14" spans="1:3" ht="15" customHeight="1" x14ac:dyDescent="0.25">
      <c r="A14" s="27" t="s">
        <v>426</v>
      </c>
      <c r="B14" s="26" t="str">
        <f>IFERROR(INDEX('Images (70)'!$L$6:$L$66,MATCH('Applicant (20)'!$A6&amp;"-"&amp;2,'Images (70)'!$K$6:$K$66,0)),"")</f>
        <v/>
      </c>
    </row>
    <row r="15" spans="1:3" ht="15" customHeight="1" x14ac:dyDescent="0.25">
      <c r="A15" s="27" t="s">
        <v>427</v>
      </c>
      <c r="B15" s="26" t="str">
        <f>IFERROR(INDEX('Images (70)'!$L$6:$L$66,MATCH('Applicant (20)'!$A6&amp;"-"&amp;3,'Images (70)'!$K$6:$K$66,0)),"")</f>
        <v/>
      </c>
    </row>
    <row r="16" spans="1:3" ht="15" customHeight="1" x14ac:dyDescent="0.25">
      <c r="A16" s="27" t="s">
        <v>428</v>
      </c>
      <c r="B16" s="26" t="str">
        <f>IFERROR(INDEX('Images (70)'!$L$6:$L$66,MATCH('Applicant (20)'!$A6&amp;"-"&amp;4,'Images (70)'!$K$6:$K$66,0)),"")</f>
        <v/>
      </c>
    </row>
    <row r="17" spans="1:2" ht="15" customHeight="1" x14ac:dyDescent="0.25">
      <c r="A17" s="27" t="s">
        <v>429</v>
      </c>
      <c r="B17" s="26" t="str">
        <f>IFERROR(INDEX('Images (70)'!$L$6:$L$66,MATCH('Applicant (20)'!$A6&amp;"-"&amp;5,'Images (70)'!$K$6:$K$66,0)),"")</f>
        <v/>
      </c>
    </row>
    <row r="18" spans="1:2" ht="15" customHeight="1" x14ac:dyDescent="0.25">
      <c r="A18" s="27" t="s">
        <v>430</v>
      </c>
      <c r="B18" s="26" t="str">
        <f>IFERROR(INDEX('Images (70)'!$L$6:$L$66,MATCH('Applicant (20)'!$A6&amp;"-"&amp;6,'Images (70)'!$K$6:$K$66,0)),"")</f>
        <v/>
      </c>
    </row>
    <row r="19" spans="1:2" ht="15" customHeight="1" x14ac:dyDescent="0.25">
      <c r="A19" s="25" t="s">
        <v>431</v>
      </c>
      <c r="B19" s="26" t="str">
        <f>'Applicant (20)'!DS7</f>
        <v/>
      </c>
    </row>
    <row r="20" spans="1:2" ht="15" customHeight="1" x14ac:dyDescent="0.25">
      <c r="A20" s="27" t="s">
        <v>418</v>
      </c>
      <c r="B20" s="26" t="str">
        <f>IFERROR(INDEX('Identity (30)'!$O$6:$O$46,MATCH('Applicant (20)'!$A7&amp;"-"&amp;1,'Identity (30)'!$N$6:$N$46,0)),"")</f>
        <v/>
      </c>
    </row>
    <row r="21" spans="1:2" ht="15" customHeight="1" x14ac:dyDescent="0.25">
      <c r="A21" s="27" t="s">
        <v>419</v>
      </c>
      <c r="B21" s="26" t="str">
        <f>IFERROR(INDEX('Identity (30)'!$O$6:$O$46,MATCH('Applicant (20)'!$A7&amp;"-"&amp;2,'Identity (30)'!$N$6:$N$46,0)),"")</f>
        <v/>
      </c>
    </row>
    <row r="22" spans="1:2" ht="15" customHeight="1" x14ac:dyDescent="0.25">
      <c r="A22" s="27" t="s">
        <v>420</v>
      </c>
      <c r="B22" s="26" t="str">
        <f>IFERROR(INDEX('Identity (30)'!$O$6:$O$46,MATCH('Applicant (20)'!$A7&amp;"-"&amp;3,'Identity (30)'!$N$6:$N$46,0)),"")</f>
        <v/>
      </c>
    </row>
    <row r="23" spans="1:2" ht="15" customHeight="1" x14ac:dyDescent="0.25">
      <c r="A23" s="27" t="s">
        <v>421</v>
      </c>
      <c r="B23" s="26" t="str">
        <f>IFERROR(INDEX('Identity (30)'!$O$6:$O$46,MATCH('Applicant (20)'!$A7&amp;"-"&amp;4,'Identity (30)'!$N$6:$N$46,0)),"")</f>
        <v/>
      </c>
    </row>
    <row r="24" spans="1:2" ht="15" customHeight="1" x14ac:dyDescent="0.25">
      <c r="A24" s="27" t="s">
        <v>422</v>
      </c>
      <c r="B24" s="26" t="str">
        <f>IFERROR(INDEX('Related Person (40)'!$CO$6:$CO$26,MATCH('Applicant (20)'!$A7&amp;"-"&amp;1,'Related Person (40)'!$CN$6:$CN$26,0)),"")</f>
        <v/>
      </c>
    </row>
    <row r="25" spans="1:2" ht="15" customHeight="1" x14ac:dyDescent="0.25">
      <c r="A25" s="27" t="s">
        <v>423</v>
      </c>
      <c r="B25" s="26" t="str">
        <f>IFERROR(INDEX('Related Person (40)'!$CO$6:$CO$26,MATCH('Applicant (20)'!$A7&amp;"-"&amp;2,'Related Person (40)'!$CN$6:$CN$26,0)),"")</f>
        <v/>
      </c>
    </row>
    <row r="26" spans="1:2" ht="15" customHeight="1" x14ac:dyDescent="0.25">
      <c r="A26" s="27" t="s">
        <v>424</v>
      </c>
      <c r="B26" s="26" t="str">
        <f>IFERROR(INDEX('Related Person (40)'!$CO$6:$CO$26,MATCH('Applicant (20)'!$A7&amp;"-"&amp;3,'Related Person (40)'!$CN$6:$CN$26,0)),"")</f>
        <v/>
      </c>
    </row>
    <row r="27" spans="1:2" ht="15" customHeight="1" x14ac:dyDescent="0.25">
      <c r="A27" s="27" t="s">
        <v>425</v>
      </c>
      <c r="B27" s="26" t="str">
        <f>IFERROR(INDEX('Images (70)'!$L$6:$L$66,MATCH('Applicant (20)'!$A7&amp;"-"&amp;1,'Images (70)'!$K$6:$K$66,0)),"")</f>
        <v/>
      </c>
    </row>
    <row r="28" spans="1:2" ht="15" customHeight="1" x14ac:dyDescent="0.25">
      <c r="A28" s="27" t="s">
        <v>426</v>
      </c>
      <c r="B28" s="26" t="str">
        <f>IFERROR(INDEX('Images (70)'!$L$6:$L$66,MATCH('Applicant (20)'!$A7&amp;"-"&amp;2,'Images (70)'!$K$6:$K$66,0)),"")</f>
        <v/>
      </c>
    </row>
    <row r="29" spans="1:2" ht="15" customHeight="1" x14ac:dyDescent="0.25">
      <c r="A29" s="27" t="s">
        <v>427</v>
      </c>
      <c r="B29" s="26" t="str">
        <f>IFERROR(INDEX('Images (70)'!$L$6:$L$66,MATCH('Applicant (20)'!$A7&amp;"-"&amp;3,'Images (70)'!$K$6:$K$66,0)),"")</f>
        <v/>
      </c>
    </row>
    <row r="30" spans="1:2" ht="15" customHeight="1" x14ac:dyDescent="0.25">
      <c r="A30" s="27" t="s">
        <v>428</v>
      </c>
      <c r="B30" s="26" t="str">
        <f>IFERROR(INDEX('Images (70)'!$L$6:$L$66,MATCH('Applicant (20)'!$A7&amp;"-"&amp;4,'Images (70)'!$K$6:$K$66,0)),"")</f>
        <v/>
      </c>
    </row>
    <row r="31" spans="1:2" ht="15" customHeight="1" x14ac:dyDescent="0.25">
      <c r="A31" s="27" t="s">
        <v>429</v>
      </c>
      <c r="B31" s="26" t="str">
        <f>IFERROR(INDEX('Images (70)'!$L$6:$L$66,MATCH('Applicant (20)'!$A7&amp;"-"&amp;5,'Images (70)'!$K$6:$K$66,0)),"")</f>
        <v/>
      </c>
    </row>
    <row r="32" spans="1:2" ht="15" customHeight="1" x14ac:dyDescent="0.25">
      <c r="A32" s="27" t="s">
        <v>430</v>
      </c>
      <c r="B32" s="26" t="str">
        <f>IFERROR(INDEX('Images (70)'!$L$6:$L$66,MATCH('Applicant (20)'!$A7&amp;"-"&amp;6,'Images (70)'!$K$6:$K$66,0)),"")</f>
        <v/>
      </c>
    </row>
    <row r="33" spans="1:2" ht="15" customHeight="1" x14ac:dyDescent="0.25">
      <c r="A33" s="25" t="s">
        <v>432</v>
      </c>
      <c r="B33" s="26" t="str">
        <f>'Applicant (20)'!DS8</f>
        <v/>
      </c>
    </row>
    <row r="34" spans="1:2" ht="15" customHeight="1" x14ac:dyDescent="0.25">
      <c r="A34" s="27" t="s">
        <v>418</v>
      </c>
      <c r="B34" s="26" t="str">
        <f>IFERROR(INDEX('Identity (30)'!$O$6:$O$46,MATCH('Applicant (20)'!$A8&amp;"-"&amp;1,'Identity (30)'!$N$6:$N$46,0)),"")</f>
        <v/>
      </c>
    </row>
    <row r="35" spans="1:2" ht="15" customHeight="1" x14ac:dyDescent="0.25">
      <c r="A35" s="27" t="s">
        <v>419</v>
      </c>
      <c r="B35" s="26" t="str">
        <f>IFERROR(INDEX('Identity (30)'!$O$6:$O$46,MATCH('Applicant (20)'!$A8&amp;"-"&amp;2,'Identity (30)'!$N$6:$N$46,0)),"")</f>
        <v/>
      </c>
    </row>
    <row r="36" spans="1:2" ht="15" customHeight="1" x14ac:dyDescent="0.25">
      <c r="A36" s="27" t="s">
        <v>420</v>
      </c>
      <c r="B36" s="26" t="str">
        <f>IFERROR(INDEX('Identity (30)'!$O$6:$O$46,MATCH('Applicant (20)'!$A8&amp;"-"&amp;3,'Identity (30)'!$N$6:$N$46,0)),"")</f>
        <v/>
      </c>
    </row>
    <row r="37" spans="1:2" ht="15" customHeight="1" x14ac:dyDescent="0.25">
      <c r="A37" s="27" t="s">
        <v>421</v>
      </c>
      <c r="B37" s="26" t="str">
        <f>IFERROR(INDEX('Identity (30)'!$O$6:$O$46,MATCH('Applicant (20)'!$A8&amp;"-"&amp;4,'Identity (30)'!$N$6:$N$46,0)),"")</f>
        <v/>
      </c>
    </row>
    <row r="38" spans="1:2" ht="15" customHeight="1" x14ac:dyDescent="0.25">
      <c r="A38" s="27" t="s">
        <v>422</v>
      </c>
      <c r="B38" s="26" t="str">
        <f>IFERROR(INDEX('Related Person (40)'!$CO$6:$CO$26,MATCH('Applicant (20)'!$A8&amp;"-"&amp;1,'Related Person (40)'!$CN$6:$CN$26,0)),"")</f>
        <v/>
      </c>
    </row>
    <row r="39" spans="1:2" ht="15" customHeight="1" x14ac:dyDescent="0.25">
      <c r="A39" s="27" t="s">
        <v>423</v>
      </c>
      <c r="B39" s="26" t="str">
        <f>IFERROR(INDEX('Related Person (40)'!$CO$6:$CO$26,MATCH('Applicant (20)'!$A8&amp;"-"&amp;2,'Related Person (40)'!$CN$6:$CN$26,0)),"")</f>
        <v/>
      </c>
    </row>
    <row r="40" spans="1:2" ht="15" customHeight="1" x14ac:dyDescent="0.25">
      <c r="A40" s="27" t="s">
        <v>424</v>
      </c>
      <c r="B40" s="26" t="str">
        <f>IFERROR(INDEX('Related Person (40)'!$CO$6:$CO$26,MATCH('Applicant (20)'!$A8&amp;"-"&amp;3,'Related Person (40)'!$CN$6:$CN$26,0)),"")</f>
        <v/>
      </c>
    </row>
    <row r="41" spans="1:2" ht="15" customHeight="1" x14ac:dyDescent="0.25">
      <c r="A41" s="27" t="s">
        <v>425</v>
      </c>
      <c r="B41" s="26" t="str">
        <f>IFERROR(INDEX('Images (70)'!$L$6:$L$66,MATCH('Applicant (20)'!$A8&amp;"-"&amp;1,'Images (70)'!$K$6:$K$66,0)),"")</f>
        <v/>
      </c>
    </row>
    <row r="42" spans="1:2" ht="15" customHeight="1" x14ac:dyDescent="0.25">
      <c r="A42" s="27" t="s">
        <v>426</v>
      </c>
      <c r="B42" s="26" t="str">
        <f>IFERROR(INDEX('Images (70)'!$L$6:$L$66,MATCH('Applicant (20)'!$A8&amp;"-"&amp;2,'Images (70)'!$K$6:$K$66,0)),"")</f>
        <v/>
      </c>
    </row>
    <row r="43" spans="1:2" ht="15" customHeight="1" x14ac:dyDescent="0.25">
      <c r="A43" s="27" t="s">
        <v>427</v>
      </c>
      <c r="B43" s="26" t="str">
        <f>IFERROR(INDEX('Images (70)'!$L$6:$L$66,MATCH('Applicant (20)'!$A8&amp;"-"&amp;3,'Images (70)'!$K$6:$K$66,0)),"")</f>
        <v/>
      </c>
    </row>
    <row r="44" spans="1:2" ht="15" customHeight="1" x14ac:dyDescent="0.25">
      <c r="A44" s="27" t="s">
        <v>428</v>
      </c>
      <c r="B44" s="26" t="str">
        <f>IFERROR(INDEX('Images (70)'!$L$6:$L$66,MATCH('Applicant (20)'!$A8&amp;"-"&amp;4,'Images (70)'!$K$6:$K$66,0)),"")</f>
        <v/>
      </c>
    </row>
    <row r="45" spans="1:2" ht="15" customHeight="1" x14ac:dyDescent="0.25">
      <c r="A45" s="27" t="s">
        <v>429</v>
      </c>
      <c r="B45" s="26" t="str">
        <f>IFERROR(INDEX('Images (70)'!$L$6:$L$66,MATCH('Applicant (20)'!$A8&amp;"-"&amp;5,'Images (70)'!$K$6:$K$66,0)),"")</f>
        <v/>
      </c>
    </row>
    <row r="46" spans="1:2" ht="15" customHeight="1" x14ac:dyDescent="0.25">
      <c r="A46" s="27" t="s">
        <v>430</v>
      </c>
      <c r="B46" s="26" t="str">
        <f>IFERROR(INDEX('Images (70)'!$L$6:$L$66,MATCH('Applicant (20)'!$A8&amp;"-"&amp;6,'Images (70)'!$K$6:$K$66,0)),"")</f>
        <v/>
      </c>
    </row>
    <row r="47" spans="1:2" ht="15" customHeight="1" x14ac:dyDescent="0.25">
      <c r="A47" s="25" t="s">
        <v>433</v>
      </c>
      <c r="B47" s="26" t="str">
        <f>'Applicant (20)'!DS9</f>
        <v/>
      </c>
    </row>
    <row r="48" spans="1:2" ht="15" customHeight="1" x14ac:dyDescent="0.25">
      <c r="A48" s="27" t="s">
        <v>418</v>
      </c>
      <c r="B48" s="26" t="str">
        <f>IFERROR(INDEX('Identity (30)'!$O$6:$O$46,MATCH('Applicant (20)'!$A9&amp;"-"&amp;1,'Identity (30)'!$N$6:$N$46,0)),"")</f>
        <v/>
      </c>
    </row>
    <row r="49" spans="1:2" ht="15" customHeight="1" x14ac:dyDescent="0.25">
      <c r="A49" s="27" t="s">
        <v>419</v>
      </c>
      <c r="B49" s="26" t="str">
        <f>IFERROR(INDEX('Identity (30)'!$O$6:$O$46,MATCH('Applicant (20)'!$A9&amp;"-"&amp;2,'Identity (30)'!$N$6:$N$46,0)),"")</f>
        <v/>
      </c>
    </row>
    <row r="50" spans="1:2" ht="15" customHeight="1" x14ac:dyDescent="0.25">
      <c r="A50" s="27" t="s">
        <v>420</v>
      </c>
      <c r="B50" s="26" t="str">
        <f>IFERROR(INDEX('Identity (30)'!$O$6:$O$46,MATCH('Applicant (20)'!$A9&amp;"-"&amp;3,'Identity (30)'!$N$6:$N$46,0)),"")</f>
        <v/>
      </c>
    </row>
    <row r="51" spans="1:2" ht="15" customHeight="1" x14ac:dyDescent="0.25">
      <c r="A51" s="27" t="s">
        <v>421</v>
      </c>
      <c r="B51" s="26" t="str">
        <f>IFERROR(INDEX('Identity (30)'!$O$6:$O$46,MATCH('Applicant (20)'!$A9&amp;"-"&amp;4,'Identity (30)'!$N$6:$N$46,0)),"")</f>
        <v/>
      </c>
    </row>
    <row r="52" spans="1:2" ht="15" customHeight="1" x14ac:dyDescent="0.25">
      <c r="A52" s="27" t="s">
        <v>422</v>
      </c>
      <c r="B52" s="26" t="str">
        <f>IFERROR(INDEX('Related Person (40)'!$CO$6:$CO$26,MATCH('Applicant (20)'!$A9&amp;"-"&amp;1,'Related Person (40)'!$CN$6:$CN$26,0)),"")</f>
        <v/>
      </c>
    </row>
    <row r="53" spans="1:2" ht="15" customHeight="1" x14ac:dyDescent="0.25">
      <c r="A53" s="27" t="s">
        <v>423</v>
      </c>
      <c r="B53" s="26" t="str">
        <f>IFERROR(INDEX('Related Person (40)'!$CO$6:$CO$26,MATCH('Applicant (20)'!$A9&amp;"-"&amp;2,'Related Person (40)'!$CN$6:$CN$26,0)),"")</f>
        <v/>
      </c>
    </row>
    <row r="54" spans="1:2" ht="15" customHeight="1" x14ac:dyDescent="0.25">
      <c r="A54" s="27" t="s">
        <v>424</v>
      </c>
      <c r="B54" s="26" t="str">
        <f>IFERROR(INDEX('Related Person (40)'!$CO$6:$CO$26,MATCH('Applicant (20)'!$A9&amp;"-"&amp;3,'Related Person (40)'!$CN$6:$CN$26,0)),"")</f>
        <v/>
      </c>
    </row>
    <row r="55" spans="1:2" ht="15" customHeight="1" x14ac:dyDescent="0.25">
      <c r="A55" s="27" t="s">
        <v>425</v>
      </c>
      <c r="B55" s="26" t="str">
        <f>IFERROR(INDEX('Images (70)'!$L$6:$L$66,MATCH('Applicant (20)'!$A9&amp;"-"&amp;1,'Images (70)'!$K$6:$K$66,0)),"")</f>
        <v/>
      </c>
    </row>
    <row r="56" spans="1:2" ht="15" customHeight="1" x14ac:dyDescent="0.25">
      <c r="A56" s="27" t="s">
        <v>426</v>
      </c>
      <c r="B56" s="26" t="str">
        <f>IFERROR(INDEX('Images (70)'!$L$6:$L$66,MATCH('Applicant (20)'!$A9&amp;"-"&amp;2,'Images (70)'!$K$6:$K$66,0)),"")</f>
        <v/>
      </c>
    </row>
    <row r="57" spans="1:2" ht="15" customHeight="1" x14ac:dyDescent="0.25">
      <c r="A57" s="27" t="s">
        <v>427</v>
      </c>
      <c r="B57" s="26" t="str">
        <f>IFERROR(INDEX('Images (70)'!$L$6:$L$66,MATCH('Applicant (20)'!$A9&amp;"-"&amp;3,'Images (70)'!$K$6:$K$66,0)),"")</f>
        <v/>
      </c>
    </row>
    <row r="58" spans="1:2" ht="15" customHeight="1" x14ac:dyDescent="0.25">
      <c r="A58" s="27" t="s">
        <v>428</v>
      </c>
      <c r="B58" s="26" t="str">
        <f>IFERROR(INDEX('Images (70)'!$L$6:$L$66,MATCH('Applicant (20)'!$A9&amp;"-"&amp;4,'Images (70)'!$K$6:$K$66,0)),"")</f>
        <v/>
      </c>
    </row>
    <row r="59" spans="1:2" ht="15" customHeight="1" x14ac:dyDescent="0.25">
      <c r="A59" s="27" t="s">
        <v>429</v>
      </c>
      <c r="B59" s="26" t="str">
        <f>IFERROR(INDEX('Images (70)'!$L$6:$L$66,MATCH('Applicant (20)'!$A9&amp;"-"&amp;5,'Images (70)'!$K$6:$K$66,0)),"")</f>
        <v/>
      </c>
    </row>
    <row r="60" spans="1:2" ht="15" customHeight="1" x14ac:dyDescent="0.25">
      <c r="A60" s="27" t="s">
        <v>430</v>
      </c>
      <c r="B60" s="26" t="str">
        <f>IFERROR(INDEX('Images (70)'!$L$6:$L$66,MATCH('Applicant (20)'!$A9&amp;"-"&amp;6,'Images (70)'!$K$6:$K$66,0)),"")</f>
        <v/>
      </c>
    </row>
    <row r="61" spans="1:2" ht="15" customHeight="1" x14ac:dyDescent="0.25">
      <c r="A61" s="25" t="s">
        <v>434</v>
      </c>
      <c r="B61" s="26" t="str">
        <f>'Applicant (20)'!DS10</f>
        <v/>
      </c>
    </row>
    <row r="62" spans="1:2" ht="15" customHeight="1" x14ac:dyDescent="0.25">
      <c r="A62" s="27" t="s">
        <v>418</v>
      </c>
      <c r="B62" s="26" t="str">
        <f>IFERROR(INDEX('Identity (30)'!$O$6:$O$46,MATCH('Applicant (20)'!$A10&amp;"-"&amp;1,'Identity (30)'!$N$6:$N$46,0)),"")</f>
        <v/>
      </c>
    </row>
    <row r="63" spans="1:2" ht="15" customHeight="1" x14ac:dyDescent="0.25">
      <c r="A63" s="27" t="s">
        <v>419</v>
      </c>
      <c r="B63" s="26" t="str">
        <f>IFERROR(INDEX('Identity (30)'!$O$6:$O$46,MATCH('Applicant (20)'!$A10&amp;"-"&amp;2,'Identity (30)'!$N$6:$N$46,0)),"")</f>
        <v/>
      </c>
    </row>
    <row r="64" spans="1:2" ht="15" customHeight="1" x14ac:dyDescent="0.25">
      <c r="A64" s="27" t="s">
        <v>420</v>
      </c>
      <c r="B64" s="26" t="str">
        <f>IFERROR(INDEX('Identity (30)'!$O$6:$O$46,MATCH('Applicant (20)'!$A10&amp;"-"&amp;3,'Identity (30)'!$N$6:$N$46,0)),"")</f>
        <v/>
      </c>
    </row>
    <row r="65" spans="1:2" ht="15" customHeight="1" x14ac:dyDescent="0.25">
      <c r="A65" s="27" t="s">
        <v>421</v>
      </c>
      <c r="B65" s="26" t="str">
        <f>IFERROR(INDEX('Identity (30)'!$O$6:$O$46,MATCH('Applicant (20)'!$A10&amp;"-"&amp;4,'Identity (30)'!$N$6:$N$46,0)),"")</f>
        <v/>
      </c>
    </row>
    <row r="66" spans="1:2" ht="15" customHeight="1" x14ac:dyDescent="0.25">
      <c r="A66" s="27" t="s">
        <v>422</v>
      </c>
      <c r="B66" s="26" t="str">
        <f>IFERROR(INDEX('Related Person (40)'!$CO$6:$CO$26,MATCH('Applicant (20)'!$A10&amp;"-"&amp;1,'Related Person (40)'!$CN$6:$CN$26,0)),"")</f>
        <v/>
      </c>
    </row>
    <row r="67" spans="1:2" ht="15" customHeight="1" x14ac:dyDescent="0.25">
      <c r="A67" s="27" t="s">
        <v>423</v>
      </c>
      <c r="B67" s="26" t="str">
        <f>IFERROR(INDEX('Related Person (40)'!$CO$6:$CO$26,MATCH('Applicant (20)'!$A10&amp;"-"&amp;2,'Related Person (40)'!$CN$6:$CN$26,0)),"")</f>
        <v/>
      </c>
    </row>
    <row r="68" spans="1:2" ht="15" customHeight="1" x14ac:dyDescent="0.25">
      <c r="A68" s="27" t="s">
        <v>424</v>
      </c>
      <c r="B68" s="26" t="str">
        <f>IFERROR(INDEX('Related Person (40)'!$CO$6:$CO$26,MATCH('Applicant (20)'!$A10&amp;"-"&amp;3,'Related Person (40)'!$CN$6:$CN$26,0)),"")</f>
        <v/>
      </c>
    </row>
    <row r="69" spans="1:2" ht="15" customHeight="1" x14ac:dyDescent="0.25">
      <c r="A69" s="27" t="s">
        <v>425</v>
      </c>
      <c r="B69" s="26" t="str">
        <f>IFERROR(INDEX('Images (70)'!$L$6:$L$66,MATCH('Applicant (20)'!$A10&amp;"-"&amp;1,'Images (70)'!$K$6:$K$66,0)),"")</f>
        <v/>
      </c>
    </row>
    <row r="70" spans="1:2" ht="15" customHeight="1" x14ac:dyDescent="0.25">
      <c r="A70" s="27" t="s">
        <v>426</v>
      </c>
      <c r="B70" s="26" t="str">
        <f>IFERROR(INDEX('Images (70)'!$L$6:$L$66,MATCH('Applicant (20)'!$A10&amp;"-"&amp;2,'Images (70)'!$K$6:$K$66,0)),"")</f>
        <v/>
      </c>
    </row>
    <row r="71" spans="1:2" ht="15" customHeight="1" x14ac:dyDescent="0.25">
      <c r="A71" s="27" t="s">
        <v>427</v>
      </c>
      <c r="B71" s="26" t="str">
        <f>IFERROR(INDEX('Images (70)'!$L$6:$L$66,MATCH('Applicant (20)'!$A10&amp;"-"&amp;3,'Images (70)'!$K$6:$K$66,0)),"")</f>
        <v/>
      </c>
    </row>
    <row r="72" spans="1:2" ht="15" customHeight="1" x14ac:dyDescent="0.25">
      <c r="A72" s="27" t="s">
        <v>428</v>
      </c>
      <c r="B72" s="26" t="str">
        <f>IFERROR(INDEX('Images (70)'!$L$6:$L$66,MATCH('Applicant (20)'!$A10&amp;"-"&amp;4,'Images (70)'!$K$6:$K$66,0)),"")</f>
        <v/>
      </c>
    </row>
    <row r="73" spans="1:2" ht="15" customHeight="1" x14ac:dyDescent="0.25">
      <c r="A73" s="27" t="s">
        <v>429</v>
      </c>
      <c r="B73" s="26" t="str">
        <f>IFERROR(INDEX('Images (70)'!$L$6:$L$66,MATCH('Applicant (20)'!$A10&amp;"-"&amp;5,'Images (70)'!$K$6:$K$66,0)),"")</f>
        <v/>
      </c>
    </row>
    <row r="74" spans="1:2" ht="15" customHeight="1" x14ac:dyDescent="0.25">
      <c r="A74" s="27" t="s">
        <v>430</v>
      </c>
      <c r="B74" s="26" t="str">
        <f>IFERROR(INDEX('Images (70)'!$L$6:$L$66,MATCH('Applicant (20)'!$A10&amp;"-"&amp;6,'Images (70)'!$K$6:$K$66,0)),"")</f>
        <v/>
      </c>
    </row>
    <row r="75" spans="1:2" ht="15" customHeight="1" x14ac:dyDescent="0.25">
      <c r="A75" s="25" t="s">
        <v>435</v>
      </c>
      <c r="B75" s="26" t="str">
        <f>'Applicant (20)'!DS11</f>
        <v/>
      </c>
    </row>
    <row r="76" spans="1:2" ht="15" customHeight="1" x14ac:dyDescent="0.25">
      <c r="A76" s="27" t="s">
        <v>418</v>
      </c>
      <c r="B76" s="26" t="str">
        <f>IFERROR(INDEX('Identity (30)'!$O$6:$O$46,MATCH('Applicant (20)'!$A11&amp;"-"&amp;1,'Identity (30)'!$N$6:$N$46,0)),"")</f>
        <v/>
      </c>
    </row>
    <row r="77" spans="1:2" ht="15" customHeight="1" x14ac:dyDescent="0.25">
      <c r="A77" s="27" t="s">
        <v>419</v>
      </c>
      <c r="B77" s="26" t="str">
        <f>IFERROR(INDEX('Identity (30)'!$O$6:$O$46,MATCH('Applicant (20)'!$A11&amp;"-"&amp;2,'Identity (30)'!$N$6:$N$46,0)),"")</f>
        <v/>
      </c>
    </row>
    <row r="78" spans="1:2" ht="15" customHeight="1" x14ac:dyDescent="0.25">
      <c r="A78" s="27" t="s">
        <v>420</v>
      </c>
      <c r="B78" s="26" t="str">
        <f>IFERROR(INDEX('Identity (30)'!$O$6:$O$46,MATCH('Applicant (20)'!$A11&amp;"-"&amp;3,'Identity (30)'!$N$6:$N$46,0)),"")</f>
        <v/>
      </c>
    </row>
    <row r="79" spans="1:2" ht="15" customHeight="1" x14ac:dyDescent="0.25">
      <c r="A79" s="27" t="s">
        <v>421</v>
      </c>
      <c r="B79" s="26" t="str">
        <f>IFERROR(INDEX('Identity (30)'!$O$6:$O$46,MATCH('Applicant (20)'!$A11&amp;"-"&amp;4,'Identity (30)'!$N$6:$N$46,0)),"")</f>
        <v/>
      </c>
    </row>
    <row r="80" spans="1:2" ht="15" customHeight="1" x14ac:dyDescent="0.25">
      <c r="A80" s="27" t="s">
        <v>422</v>
      </c>
      <c r="B80" s="26" t="str">
        <f>IFERROR(INDEX('Related Person (40)'!$CO$6:$CO$26,MATCH('Applicant (20)'!$A11&amp;"-"&amp;1,'Related Person (40)'!$CN$6:$CN$26,0)),"")</f>
        <v/>
      </c>
    </row>
    <row r="81" spans="1:2" ht="15" customHeight="1" x14ac:dyDescent="0.25">
      <c r="A81" s="27" t="s">
        <v>423</v>
      </c>
      <c r="B81" s="26" t="str">
        <f>IFERROR(INDEX('Related Person (40)'!$CO$6:$CO$26,MATCH('Applicant (20)'!$A11&amp;"-"&amp;2,'Related Person (40)'!$CN$6:$CN$26,0)),"")</f>
        <v/>
      </c>
    </row>
    <row r="82" spans="1:2" ht="15" customHeight="1" x14ac:dyDescent="0.25">
      <c r="A82" s="27" t="s">
        <v>424</v>
      </c>
      <c r="B82" s="26" t="str">
        <f>IFERROR(INDEX('Related Person (40)'!$CO$6:$CO$26,MATCH('Applicant (20)'!$A11&amp;"-"&amp;3,'Related Person (40)'!$CN$6:$CN$26,0)),"")</f>
        <v/>
      </c>
    </row>
    <row r="83" spans="1:2" ht="15" customHeight="1" x14ac:dyDescent="0.25">
      <c r="A83" s="27" t="s">
        <v>425</v>
      </c>
      <c r="B83" s="26" t="str">
        <f>IFERROR(INDEX('Images (70)'!$L$6:$L$66,MATCH('Applicant (20)'!$A11&amp;"-"&amp;1,'Images (70)'!$K$6:$K$66,0)),"")</f>
        <v/>
      </c>
    </row>
    <row r="84" spans="1:2" ht="15" customHeight="1" x14ac:dyDescent="0.25">
      <c r="A84" s="27" t="s">
        <v>426</v>
      </c>
      <c r="B84" s="26" t="str">
        <f>IFERROR(INDEX('Images (70)'!$L$6:$L$66,MATCH('Applicant (20)'!$A11&amp;"-"&amp;2,'Images (70)'!$K$6:$K$66,0)),"")</f>
        <v/>
      </c>
    </row>
    <row r="85" spans="1:2" ht="15" customHeight="1" x14ac:dyDescent="0.25">
      <c r="A85" s="27" t="s">
        <v>427</v>
      </c>
      <c r="B85" s="26" t="str">
        <f>IFERROR(INDEX('Images (70)'!$L$6:$L$66,MATCH('Applicant (20)'!$A11&amp;"-"&amp;3,'Images (70)'!$K$6:$K$66,0)),"")</f>
        <v/>
      </c>
    </row>
    <row r="86" spans="1:2" ht="15" customHeight="1" x14ac:dyDescent="0.25">
      <c r="A86" s="27" t="s">
        <v>428</v>
      </c>
      <c r="B86" s="26" t="str">
        <f>IFERROR(INDEX('Images (70)'!$L$6:$L$66,MATCH('Applicant (20)'!$A11&amp;"-"&amp;4,'Images (70)'!$K$6:$K$66,0)),"")</f>
        <v/>
      </c>
    </row>
    <row r="87" spans="1:2" ht="15" customHeight="1" x14ac:dyDescent="0.25">
      <c r="A87" s="27" t="s">
        <v>429</v>
      </c>
      <c r="B87" s="26" t="str">
        <f>IFERROR(INDEX('Images (70)'!$L$6:$L$66,MATCH('Applicant (20)'!$A11&amp;"-"&amp;5,'Images (70)'!$K$6:$K$66,0)),"")</f>
        <v/>
      </c>
    </row>
    <row r="88" spans="1:2" ht="15" customHeight="1" x14ac:dyDescent="0.25">
      <c r="A88" s="27" t="s">
        <v>430</v>
      </c>
      <c r="B88" s="26" t="str">
        <f>IFERROR(INDEX('Images (70)'!$L$6:$L$66,MATCH('Applicant (20)'!$A11&amp;"-"&amp;6,'Images (70)'!$K$6:$K$66,0)),"")</f>
        <v/>
      </c>
    </row>
    <row r="89" spans="1:2" ht="15" customHeight="1" x14ac:dyDescent="0.25">
      <c r="A89" s="25" t="s">
        <v>436</v>
      </c>
      <c r="B89" s="26" t="str">
        <f>'Applicant (20)'!DS12</f>
        <v/>
      </c>
    </row>
    <row r="90" spans="1:2" ht="15" customHeight="1" x14ac:dyDescent="0.25">
      <c r="A90" s="27" t="s">
        <v>418</v>
      </c>
      <c r="B90" s="26" t="str">
        <f>IFERROR(INDEX('Identity (30)'!$O$6:$O$46,MATCH('Applicant (20)'!$A12&amp;"-"&amp;1,'Identity (30)'!$N$6:$N$46,0)),"")</f>
        <v/>
      </c>
    </row>
    <row r="91" spans="1:2" ht="15" customHeight="1" x14ac:dyDescent="0.25">
      <c r="A91" s="27" t="s">
        <v>419</v>
      </c>
      <c r="B91" s="26" t="str">
        <f>IFERROR(INDEX('Identity (30)'!$O$6:$O$46,MATCH('Applicant (20)'!$A12&amp;"-"&amp;2,'Identity (30)'!$N$6:$N$46,0)),"")</f>
        <v/>
      </c>
    </row>
    <row r="92" spans="1:2" ht="15" customHeight="1" x14ac:dyDescent="0.25">
      <c r="A92" s="27" t="s">
        <v>420</v>
      </c>
      <c r="B92" s="26" t="str">
        <f>IFERROR(INDEX('Identity (30)'!$O$6:$O$46,MATCH('Applicant (20)'!$A12&amp;"-"&amp;3,'Identity (30)'!$N$6:$N$46,0)),"")</f>
        <v/>
      </c>
    </row>
    <row r="93" spans="1:2" ht="15" customHeight="1" x14ac:dyDescent="0.25">
      <c r="A93" s="27" t="s">
        <v>421</v>
      </c>
      <c r="B93" s="26" t="str">
        <f>IFERROR(INDEX('Identity (30)'!$O$6:$O$46,MATCH('Applicant (20)'!$A12&amp;"-"&amp;4,'Identity (30)'!$N$6:$N$46,0)),"")</f>
        <v/>
      </c>
    </row>
    <row r="94" spans="1:2" ht="15" customHeight="1" x14ac:dyDescent="0.25">
      <c r="A94" s="27" t="s">
        <v>422</v>
      </c>
      <c r="B94" s="26" t="str">
        <f>IFERROR(INDEX('Related Person (40)'!$CO$6:$CO$26,MATCH('Applicant (20)'!$A12&amp;"-"&amp;1,'Related Person (40)'!$CN$6:$CN$26,0)),"")</f>
        <v/>
      </c>
    </row>
    <row r="95" spans="1:2" ht="15" customHeight="1" x14ac:dyDescent="0.25">
      <c r="A95" s="27" t="s">
        <v>423</v>
      </c>
      <c r="B95" s="26" t="str">
        <f>IFERROR(INDEX('Related Person (40)'!$CO$6:$CO$26,MATCH('Applicant (20)'!$A12&amp;"-"&amp;2,'Related Person (40)'!$CN$6:$CN$26,0)),"")</f>
        <v/>
      </c>
    </row>
    <row r="96" spans="1:2" ht="15" customHeight="1" x14ac:dyDescent="0.25">
      <c r="A96" s="27" t="s">
        <v>424</v>
      </c>
      <c r="B96" s="26" t="str">
        <f>IFERROR(INDEX('Related Person (40)'!$CO$6:$CO$26,MATCH('Applicant (20)'!$A12&amp;"-"&amp;3,'Related Person (40)'!$CN$6:$CN$26,0)),"")</f>
        <v/>
      </c>
    </row>
    <row r="97" spans="1:2" ht="15" customHeight="1" x14ac:dyDescent="0.25">
      <c r="A97" s="27" t="s">
        <v>425</v>
      </c>
      <c r="B97" s="26" t="str">
        <f>IFERROR(INDEX('Images (70)'!$L$6:$L$66,MATCH('Applicant (20)'!$A12&amp;"-"&amp;1,'Images (70)'!$K$6:$K$66,0)),"")</f>
        <v/>
      </c>
    </row>
    <row r="98" spans="1:2" ht="15" customHeight="1" x14ac:dyDescent="0.25">
      <c r="A98" s="27" t="s">
        <v>426</v>
      </c>
      <c r="B98" s="26" t="str">
        <f>IFERROR(INDEX('Images (70)'!$L$6:$L$66,MATCH('Applicant (20)'!$A12&amp;"-"&amp;2,'Images (70)'!$K$6:$K$66,0)),"")</f>
        <v/>
      </c>
    </row>
    <row r="99" spans="1:2" ht="15" customHeight="1" x14ac:dyDescent="0.25">
      <c r="A99" s="27" t="s">
        <v>427</v>
      </c>
      <c r="B99" s="26" t="str">
        <f>IFERROR(INDEX('Images (70)'!$L$6:$L$66,MATCH('Applicant (20)'!$A12&amp;"-"&amp;3,'Images (70)'!$K$6:$K$66,0)),"")</f>
        <v/>
      </c>
    </row>
    <row r="100" spans="1:2" ht="15" customHeight="1" x14ac:dyDescent="0.25">
      <c r="A100" s="27" t="s">
        <v>428</v>
      </c>
      <c r="B100" s="26" t="str">
        <f>IFERROR(INDEX('Images (70)'!$L$6:$L$66,MATCH('Applicant (20)'!$A12&amp;"-"&amp;4,'Images (70)'!$K$6:$K$66,0)),"")</f>
        <v/>
      </c>
    </row>
    <row r="101" spans="1:2" ht="15" customHeight="1" x14ac:dyDescent="0.25">
      <c r="A101" s="27" t="s">
        <v>429</v>
      </c>
      <c r="B101" s="26" t="str">
        <f>IFERROR(INDEX('Images (70)'!$L$6:$L$66,MATCH('Applicant (20)'!$A12&amp;"-"&amp;5,'Images (70)'!$K$6:$K$66,0)),"")</f>
        <v/>
      </c>
    </row>
    <row r="102" spans="1:2" ht="15" customHeight="1" x14ac:dyDescent="0.25">
      <c r="A102" s="27" t="s">
        <v>430</v>
      </c>
      <c r="B102" s="26" t="str">
        <f>IFERROR(INDEX('Images (70)'!$L$6:$L$66,MATCH('Applicant (20)'!$A12&amp;"-"&amp;6,'Images (70)'!$K$6:$K$66,0)),"")</f>
        <v/>
      </c>
    </row>
    <row r="103" spans="1:2" ht="15" customHeight="1" x14ac:dyDescent="0.25">
      <c r="A103" s="25" t="s">
        <v>437</v>
      </c>
      <c r="B103" s="26" t="str">
        <f>'Applicant (20)'!DS13</f>
        <v/>
      </c>
    </row>
    <row r="104" spans="1:2" ht="15" customHeight="1" x14ac:dyDescent="0.25">
      <c r="A104" s="27" t="s">
        <v>418</v>
      </c>
      <c r="B104" s="26" t="str">
        <f>IFERROR(INDEX('Identity (30)'!$O$6:$O$46,MATCH('Applicant (20)'!$A13&amp;"-"&amp;1,'Identity (30)'!$N$6:$N$46,0)),"")</f>
        <v/>
      </c>
    </row>
    <row r="105" spans="1:2" ht="15" customHeight="1" x14ac:dyDescent="0.25">
      <c r="A105" s="27" t="s">
        <v>419</v>
      </c>
      <c r="B105" s="26" t="str">
        <f>IFERROR(INDEX('Identity (30)'!$O$6:$O$46,MATCH('Applicant (20)'!$A13&amp;"-"&amp;2,'Identity (30)'!$N$6:$N$46,0)),"")</f>
        <v/>
      </c>
    </row>
    <row r="106" spans="1:2" ht="15" customHeight="1" x14ac:dyDescent="0.25">
      <c r="A106" s="27" t="s">
        <v>420</v>
      </c>
      <c r="B106" s="26" t="str">
        <f>IFERROR(INDEX('Identity (30)'!$O$6:$O$46,MATCH('Applicant (20)'!$A13&amp;"-"&amp;3,'Identity (30)'!$N$6:$N$46,0)),"")</f>
        <v/>
      </c>
    </row>
    <row r="107" spans="1:2" ht="15" customHeight="1" x14ac:dyDescent="0.25">
      <c r="A107" s="27" t="s">
        <v>421</v>
      </c>
      <c r="B107" s="26" t="str">
        <f>IFERROR(INDEX('Identity (30)'!$O$6:$O$46,MATCH('Applicant (20)'!$A13&amp;"-"&amp;4,'Identity (30)'!$N$6:$N$46,0)),"")</f>
        <v/>
      </c>
    </row>
    <row r="108" spans="1:2" ht="15" customHeight="1" x14ac:dyDescent="0.25">
      <c r="A108" s="27" t="s">
        <v>422</v>
      </c>
      <c r="B108" s="26" t="str">
        <f>IFERROR(INDEX('Related Person (40)'!$CO$6:$CO$26,MATCH('Applicant (20)'!$A13&amp;"-"&amp;1,'Related Person (40)'!$CN$6:$CN$26,0)),"")</f>
        <v/>
      </c>
    </row>
    <row r="109" spans="1:2" ht="15" customHeight="1" x14ac:dyDescent="0.25">
      <c r="A109" s="27" t="s">
        <v>423</v>
      </c>
      <c r="B109" s="26" t="str">
        <f>IFERROR(INDEX('Related Person (40)'!$CO$6:$CO$26,MATCH('Applicant (20)'!$A13&amp;"-"&amp;2,'Related Person (40)'!$CN$6:$CN$26,0)),"")</f>
        <v/>
      </c>
    </row>
    <row r="110" spans="1:2" ht="15" customHeight="1" x14ac:dyDescent="0.25">
      <c r="A110" s="27" t="s">
        <v>424</v>
      </c>
      <c r="B110" s="26" t="str">
        <f>IFERROR(INDEX('Related Person (40)'!$CO$6:$CO$26,MATCH('Applicant (20)'!$A13&amp;"-"&amp;3,'Related Person (40)'!$CN$6:$CN$26,0)),"")</f>
        <v/>
      </c>
    </row>
    <row r="111" spans="1:2" ht="15" customHeight="1" x14ac:dyDescent="0.25">
      <c r="A111" s="27" t="s">
        <v>425</v>
      </c>
      <c r="B111" s="26" t="str">
        <f>IFERROR(INDEX('Images (70)'!$L$6:$L$66,MATCH('Applicant (20)'!$A13&amp;"-"&amp;1,'Images (70)'!$K$6:$K$66,0)),"")</f>
        <v/>
      </c>
    </row>
    <row r="112" spans="1:2" ht="15" customHeight="1" x14ac:dyDescent="0.25">
      <c r="A112" s="27" t="s">
        <v>426</v>
      </c>
      <c r="B112" s="26" t="str">
        <f>IFERROR(INDEX('Images (70)'!$L$6:$L$66,MATCH('Applicant (20)'!$A13&amp;"-"&amp;2,'Images (70)'!$K$6:$K$66,0)),"")</f>
        <v/>
      </c>
    </row>
    <row r="113" spans="1:2" ht="15" customHeight="1" x14ac:dyDescent="0.25">
      <c r="A113" s="27" t="s">
        <v>427</v>
      </c>
      <c r="B113" s="26" t="str">
        <f>IFERROR(INDEX('Images (70)'!$L$6:$L$66,MATCH('Applicant (20)'!$A13&amp;"-"&amp;3,'Images (70)'!$K$6:$K$66,0)),"")</f>
        <v/>
      </c>
    </row>
    <row r="114" spans="1:2" ht="15" customHeight="1" x14ac:dyDescent="0.25">
      <c r="A114" s="27" t="s">
        <v>428</v>
      </c>
      <c r="B114" s="26" t="str">
        <f>IFERROR(INDEX('Images (70)'!$L$6:$L$66,MATCH('Applicant (20)'!$A13&amp;"-"&amp;4,'Images (70)'!$K$6:$K$66,0)),"")</f>
        <v/>
      </c>
    </row>
    <row r="115" spans="1:2" ht="15" customHeight="1" x14ac:dyDescent="0.25">
      <c r="A115" s="27" t="s">
        <v>429</v>
      </c>
      <c r="B115" s="26" t="str">
        <f>IFERROR(INDEX('Images (70)'!$L$6:$L$66,MATCH('Applicant (20)'!$A13&amp;"-"&amp;5,'Images (70)'!$K$6:$K$66,0)),"")</f>
        <v/>
      </c>
    </row>
    <row r="116" spans="1:2" ht="15" customHeight="1" x14ac:dyDescent="0.25">
      <c r="A116" s="27" t="s">
        <v>430</v>
      </c>
      <c r="B116" s="26" t="str">
        <f>IFERROR(INDEX('Images (70)'!$L$6:$L$66,MATCH('Applicant (20)'!$A13&amp;"-"&amp;6,'Images (70)'!$K$6:$K$66,0)),"")</f>
        <v/>
      </c>
    </row>
    <row r="117" spans="1:2" ht="15" customHeight="1" x14ac:dyDescent="0.25">
      <c r="A117" s="25" t="s">
        <v>438</v>
      </c>
      <c r="B117" s="26" t="str">
        <f>'Applicant (20)'!DS14</f>
        <v/>
      </c>
    </row>
    <row r="118" spans="1:2" ht="15" customHeight="1" x14ac:dyDescent="0.25">
      <c r="A118" s="27" t="s">
        <v>418</v>
      </c>
      <c r="B118" s="26" t="str">
        <f>IFERROR(INDEX('Identity (30)'!$O$6:$O$46,MATCH('Applicant (20)'!$A14&amp;"-"&amp;1,'Identity (30)'!$N$6:$N$46,0)),"")</f>
        <v/>
      </c>
    </row>
    <row r="119" spans="1:2" ht="15" customHeight="1" x14ac:dyDescent="0.25">
      <c r="A119" s="27" t="s">
        <v>419</v>
      </c>
      <c r="B119" s="26" t="str">
        <f>IFERROR(INDEX('Identity (30)'!$O$6:$O$46,MATCH('Applicant (20)'!$A14&amp;"-"&amp;2,'Identity (30)'!$N$6:$N$46,0)),"")</f>
        <v/>
      </c>
    </row>
    <row r="120" spans="1:2" ht="15" customHeight="1" x14ac:dyDescent="0.25">
      <c r="A120" s="27" t="s">
        <v>420</v>
      </c>
      <c r="B120" s="26" t="str">
        <f>IFERROR(INDEX('Identity (30)'!$O$6:$O$46,MATCH('Applicant (20)'!$A14&amp;"-"&amp;3,'Identity (30)'!$N$6:$N$46,0)),"")</f>
        <v/>
      </c>
    </row>
    <row r="121" spans="1:2" ht="15" customHeight="1" x14ac:dyDescent="0.25">
      <c r="A121" s="27" t="s">
        <v>421</v>
      </c>
      <c r="B121" s="26" t="str">
        <f>IFERROR(INDEX('Identity (30)'!$O$6:$O$46,MATCH('Applicant (20)'!$A14&amp;"-"&amp;4,'Identity (30)'!$N$6:$N$46,0)),"")</f>
        <v/>
      </c>
    </row>
    <row r="122" spans="1:2" ht="15" customHeight="1" x14ac:dyDescent="0.25">
      <c r="A122" s="27" t="s">
        <v>422</v>
      </c>
      <c r="B122" s="26" t="str">
        <f>IFERROR(INDEX('Related Person (40)'!$CO$6:$CO$26,MATCH('Applicant (20)'!$A14&amp;"-"&amp;1,'Related Person (40)'!$CN$6:$CN$26,0)),"")</f>
        <v/>
      </c>
    </row>
    <row r="123" spans="1:2" ht="15" customHeight="1" x14ac:dyDescent="0.25">
      <c r="A123" s="27" t="s">
        <v>423</v>
      </c>
      <c r="B123" s="26" t="str">
        <f>IFERROR(INDEX('Related Person (40)'!$CO$6:$CO$26,MATCH('Applicant (20)'!$A14&amp;"-"&amp;2,'Related Person (40)'!$CN$6:$CN$26,0)),"")</f>
        <v/>
      </c>
    </row>
    <row r="124" spans="1:2" ht="15" customHeight="1" x14ac:dyDescent="0.25">
      <c r="A124" s="27" t="s">
        <v>424</v>
      </c>
      <c r="B124" s="26" t="str">
        <f>IFERROR(INDEX('Related Person (40)'!$CO$6:$CO$26,MATCH('Applicant (20)'!$A14&amp;"-"&amp;3,'Related Person (40)'!$CN$6:$CN$26,0)),"")</f>
        <v/>
      </c>
    </row>
    <row r="125" spans="1:2" ht="15" customHeight="1" x14ac:dyDescent="0.25">
      <c r="A125" s="27" t="s">
        <v>425</v>
      </c>
      <c r="B125" s="26" t="str">
        <f>IFERROR(INDEX('Images (70)'!$L$6:$L$66,MATCH('Applicant (20)'!$A14&amp;"-"&amp;1,'Images (70)'!$K$6:$K$66,0)),"")</f>
        <v/>
      </c>
    </row>
    <row r="126" spans="1:2" ht="15" customHeight="1" x14ac:dyDescent="0.25">
      <c r="A126" s="27" t="s">
        <v>426</v>
      </c>
      <c r="B126" s="26" t="str">
        <f>IFERROR(INDEX('Images (70)'!$L$6:$L$66,MATCH('Applicant (20)'!$A14&amp;"-"&amp;2,'Images (70)'!$K$6:$K$66,0)),"")</f>
        <v/>
      </c>
    </row>
    <row r="127" spans="1:2" ht="15" customHeight="1" x14ac:dyDescent="0.25">
      <c r="A127" s="27" t="s">
        <v>427</v>
      </c>
      <c r="B127" s="26" t="str">
        <f>IFERROR(INDEX('Images (70)'!$L$6:$L$66,MATCH('Applicant (20)'!$A14&amp;"-"&amp;3,'Images (70)'!$K$6:$K$66,0)),"")</f>
        <v/>
      </c>
    </row>
    <row r="128" spans="1:2" ht="15" customHeight="1" x14ac:dyDescent="0.25">
      <c r="A128" s="27" t="s">
        <v>428</v>
      </c>
      <c r="B128" s="26" t="str">
        <f>IFERROR(INDEX('Images (70)'!$L$6:$L$66,MATCH('Applicant (20)'!$A14&amp;"-"&amp;4,'Images (70)'!$K$6:$K$66,0)),"")</f>
        <v/>
      </c>
    </row>
    <row r="129" spans="1:2" ht="15" customHeight="1" x14ac:dyDescent="0.25">
      <c r="A129" s="27" t="s">
        <v>429</v>
      </c>
      <c r="B129" s="26" t="str">
        <f>IFERROR(INDEX('Images (70)'!$L$6:$L$66,MATCH('Applicant (20)'!$A14&amp;"-"&amp;5,'Images (70)'!$K$6:$K$66,0)),"")</f>
        <v/>
      </c>
    </row>
    <row r="130" spans="1:2" ht="15" customHeight="1" x14ac:dyDescent="0.25">
      <c r="A130" s="27" t="s">
        <v>430</v>
      </c>
      <c r="B130" s="26" t="str">
        <f>IFERROR(INDEX('Images (70)'!$L$6:$L$66,MATCH('Applicant (20)'!$A14&amp;"-"&amp;6,'Images (70)'!$K$6:$K$66,0)),"")</f>
        <v/>
      </c>
    </row>
    <row r="131" spans="1:2" ht="15" customHeight="1" x14ac:dyDescent="0.25">
      <c r="A131" s="25" t="s">
        <v>439</v>
      </c>
      <c r="B131" s="26" t="str">
        <f>'Applicant (20)'!DS15</f>
        <v/>
      </c>
    </row>
    <row r="132" spans="1:2" ht="15" customHeight="1" x14ac:dyDescent="0.25">
      <c r="A132" s="27" t="s">
        <v>418</v>
      </c>
      <c r="B132" s="26" t="str">
        <f>IFERROR(INDEX('Identity (30)'!$O$6:$O$46,MATCH('Applicant (20)'!$A15&amp;"-"&amp;1,'Identity (30)'!$N$6:$N$46,0)),"")</f>
        <v/>
      </c>
    </row>
    <row r="133" spans="1:2" ht="15" customHeight="1" x14ac:dyDescent="0.25">
      <c r="A133" s="27" t="s">
        <v>419</v>
      </c>
      <c r="B133" s="26" t="str">
        <f>IFERROR(INDEX('Identity (30)'!$O$6:$O$46,MATCH('Applicant (20)'!$A15&amp;"-"&amp;2,'Identity (30)'!$N$6:$N$46,0)),"")</f>
        <v/>
      </c>
    </row>
    <row r="134" spans="1:2" ht="15" customHeight="1" x14ac:dyDescent="0.25">
      <c r="A134" s="27" t="s">
        <v>420</v>
      </c>
      <c r="B134" s="26" t="str">
        <f>IFERROR(INDEX('Identity (30)'!$O$6:$O$46,MATCH('Applicant (20)'!$A15&amp;"-"&amp;3,'Identity (30)'!$N$6:$N$46,0)),"")</f>
        <v/>
      </c>
    </row>
    <row r="135" spans="1:2" ht="15" customHeight="1" x14ac:dyDescent="0.25">
      <c r="A135" s="27" t="s">
        <v>421</v>
      </c>
      <c r="B135" s="26" t="str">
        <f>IFERROR(INDEX('Identity (30)'!$O$6:$O$46,MATCH('Applicant (20)'!$A15&amp;"-"&amp;4,'Identity (30)'!$N$6:$N$46,0)),"")</f>
        <v/>
      </c>
    </row>
    <row r="136" spans="1:2" ht="15" customHeight="1" x14ac:dyDescent="0.25">
      <c r="A136" s="27" t="s">
        <v>422</v>
      </c>
      <c r="B136" s="26" t="str">
        <f>IFERROR(INDEX('Related Person (40)'!$CO$6:$CO$26,MATCH('Applicant (20)'!$A15&amp;"-"&amp;1,'Related Person (40)'!$CN$6:$CN$26,0)),"")</f>
        <v/>
      </c>
    </row>
    <row r="137" spans="1:2" ht="15" customHeight="1" x14ac:dyDescent="0.25">
      <c r="A137" s="27" t="s">
        <v>423</v>
      </c>
      <c r="B137" s="26" t="str">
        <f>IFERROR(INDEX('Related Person (40)'!$CO$6:$CO$26,MATCH('Applicant (20)'!$A15&amp;"-"&amp;2,'Related Person (40)'!$CN$6:$CN$26,0)),"")</f>
        <v/>
      </c>
    </row>
    <row r="138" spans="1:2" ht="15" customHeight="1" x14ac:dyDescent="0.25">
      <c r="A138" s="27" t="s">
        <v>424</v>
      </c>
      <c r="B138" s="26" t="str">
        <f>IFERROR(INDEX('Related Person (40)'!$CO$6:$CO$26,MATCH('Applicant (20)'!$A15&amp;"-"&amp;3,'Related Person (40)'!$CN$6:$CN$26,0)),"")</f>
        <v/>
      </c>
    </row>
    <row r="139" spans="1:2" ht="15" customHeight="1" x14ac:dyDescent="0.25">
      <c r="A139" s="27" t="s">
        <v>425</v>
      </c>
      <c r="B139" s="26" t="str">
        <f>IFERROR(INDEX('Images (70)'!$L$6:$L$66,MATCH('Applicant (20)'!$A15&amp;"-"&amp;1,'Images (70)'!$K$6:$K$66,0)),"")</f>
        <v/>
      </c>
    </row>
    <row r="140" spans="1:2" ht="15" customHeight="1" x14ac:dyDescent="0.25">
      <c r="A140" s="27" t="s">
        <v>426</v>
      </c>
      <c r="B140" s="26" t="str">
        <f>IFERROR(INDEX('Images (70)'!$L$6:$L$66,MATCH('Applicant (20)'!$A15&amp;"-"&amp;2,'Images (70)'!$K$6:$K$66,0)),"")</f>
        <v/>
      </c>
    </row>
    <row r="141" spans="1:2" ht="15" customHeight="1" x14ac:dyDescent="0.25">
      <c r="A141" s="27" t="s">
        <v>427</v>
      </c>
      <c r="B141" s="26" t="str">
        <f>IFERROR(INDEX('Images (70)'!$L$6:$L$66,MATCH('Applicant (20)'!$A15&amp;"-"&amp;3,'Images (70)'!$K$6:$K$66,0)),"")</f>
        <v/>
      </c>
    </row>
    <row r="142" spans="1:2" ht="15" customHeight="1" x14ac:dyDescent="0.25">
      <c r="A142" s="27" t="s">
        <v>428</v>
      </c>
      <c r="B142" s="26" t="str">
        <f>IFERROR(INDEX('Images (70)'!$L$6:$L$66,MATCH('Applicant (20)'!$A15&amp;"-"&amp;4,'Images (70)'!$K$6:$K$66,0)),"")</f>
        <v/>
      </c>
    </row>
    <row r="143" spans="1:2" ht="15" customHeight="1" x14ac:dyDescent="0.25">
      <c r="A143" s="27" t="s">
        <v>429</v>
      </c>
      <c r="B143" s="26" t="str">
        <f>IFERROR(INDEX('Images (70)'!$L$6:$L$66,MATCH('Applicant (20)'!$A15&amp;"-"&amp;5,'Images (70)'!$K$6:$K$66,0)),"")</f>
        <v/>
      </c>
    </row>
    <row r="144" spans="1:2" ht="15" customHeight="1" x14ac:dyDescent="0.25">
      <c r="A144" s="27" t="s">
        <v>430</v>
      </c>
      <c r="B144" s="26" t="str">
        <f>IFERROR(INDEX('Images (70)'!$L$6:$L$66,MATCH('Applicant (20)'!$A15&amp;"-"&amp;6,'Images (70)'!$K$6:$K$66,0)),"")</f>
        <v/>
      </c>
    </row>
    <row r="145" spans="1:2" ht="15" customHeight="1" x14ac:dyDescent="0.25">
      <c r="A145" s="25" t="s">
        <v>440</v>
      </c>
      <c r="B145" s="26" t="str">
        <f>'Applicant (20)'!DS16</f>
        <v/>
      </c>
    </row>
    <row r="146" spans="1:2" ht="15" customHeight="1" x14ac:dyDescent="0.25">
      <c r="A146" s="27" t="s">
        <v>418</v>
      </c>
      <c r="B146" s="26" t="str">
        <f>IFERROR(INDEX('Identity (30)'!$O$6:$O$46,MATCH('Applicant (20)'!$A16&amp;"-"&amp;1,'Identity (30)'!$N$6:$N$46,0)),"")</f>
        <v/>
      </c>
    </row>
    <row r="147" spans="1:2" ht="15" customHeight="1" x14ac:dyDescent="0.25">
      <c r="A147" s="27" t="s">
        <v>419</v>
      </c>
      <c r="B147" s="26" t="str">
        <f>IFERROR(INDEX('Identity (30)'!$O$6:$O$46,MATCH('Applicant (20)'!$A16&amp;"-"&amp;2,'Identity (30)'!$N$6:$N$46,0)),"")</f>
        <v/>
      </c>
    </row>
    <row r="148" spans="1:2" ht="15" customHeight="1" x14ac:dyDescent="0.25">
      <c r="A148" s="27" t="s">
        <v>420</v>
      </c>
      <c r="B148" s="26" t="str">
        <f>IFERROR(INDEX('Identity (30)'!$O$6:$O$46,MATCH('Applicant (20)'!$A16&amp;"-"&amp;3,'Identity (30)'!$N$6:$N$46,0)),"")</f>
        <v/>
      </c>
    </row>
    <row r="149" spans="1:2" ht="15" customHeight="1" x14ac:dyDescent="0.25">
      <c r="A149" s="27" t="s">
        <v>421</v>
      </c>
      <c r="B149" s="26" t="str">
        <f>IFERROR(INDEX('Identity (30)'!$O$6:$O$46,MATCH('Applicant (20)'!$A16&amp;"-"&amp;4,'Identity (30)'!$N$6:$N$46,0)),"")</f>
        <v/>
      </c>
    </row>
    <row r="150" spans="1:2" ht="15" customHeight="1" x14ac:dyDescent="0.25">
      <c r="A150" s="27" t="s">
        <v>422</v>
      </c>
      <c r="B150" s="26" t="str">
        <f>IFERROR(INDEX('Related Person (40)'!$CO$6:$CO$26,MATCH('Applicant (20)'!$A16&amp;"-"&amp;1,'Related Person (40)'!$CN$6:$CN$26,0)),"")</f>
        <v/>
      </c>
    </row>
    <row r="151" spans="1:2" ht="15" customHeight="1" x14ac:dyDescent="0.25">
      <c r="A151" s="27" t="s">
        <v>423</v>
      </c>
      <c r="B151" s="26" t="str">
        <f>IFERROR(INDEX('Related Person (40)'!$CO$6:$CO$26,MATCH('Applicant (20)'!$A16&amp;"-"&amp;2,'Related Person (40)'!$CN$6:$CN$26,0)),"")</f>
        <v/>
      </c>
    </row>
    <row r="152" spans="1:2" ht="15" customHeight="1" x14ac:dyDescent="0.25">
      <c r="A152" s="27" t="s">
        <v>424</v>
      </c>
      <c r="B152" s="26" t="str">
        <f>IFERROR(INDEX('Related Person (40)'!$CO$6:$CO$26,MATCH('Applicant (20)'!$A16&amp;"-"&amp;3,'Related Person (40)'!$CN$6:$CN$26,0)),"")</f>
        <v/>
      </c>
    </row>
    <row r="153" spans="1:2" ht="15" customHeight="1" x14ac:dyDescent="0.25">
      <c r="A153" s="27" t="s">
        <v>425</v>
      </c>
      <c r="B153" s="26" t="str">
        <f>IFERROR(INDEX('Images (70)'!$L$6:$L$66,MATCH('Applicant (20)'!$A16&amp;"-"&amp;1,'Images (70)'!$K$6:$K$66,0)),"")</f>
        <v/>
      </c>
    </row>
    <row r="154" spans="1:2" ht="15" customHeight="1" x14ac:dyDescent="0.25">
      <c r="A154" s="27" t="s">
        <v>426</v>
      </c>
      <c r="B154" s="26" t="str">
        <f>IFERROR(INDEX('Images (70)'!$L$6:$L$66,MATCH('Applicant (20)'!$A16&amp;"-"&amp;2,'Images (70)'!$K$6:$K$66,0)),"")</f>
        <v/>
      </c>
    </row>
    <row r="155" spans="1:2" ht="15" customHeight="1" x14ac:dyDescent="0.25">
      <c r="A155" s="27" t="s">
        <v>427</v>
      </c>
      <c r="B155" s="26" t="str">
        <f>IFERROR(INDEX('Images (70)'!$L$6:$L$66,MATCH('Applicant (20)'!$A16&amp;"-"&amp;3,'Images (70)'!$K$6:$K$66,0)),"")</f>
        <v/>
      </c>
    </row>
    <row r="156" spans="1:2" ht="15" customHeight="1" x14ac:dyDescent="0.25">
      <c r="A156" s="27" t="s">
        <v>428</v>
      </c>
      <c r="B156" s="26" t="str">
        <f>IFERROR(INDEX('Images (70)'!$L$6:$L$66,MATCH('Applicant (20)'!$A16&amp;"-"&amp;4,'Images (70)'!$K$6:$K$66,0)),"")</f>
        <v/>
      </c>
    </row>
    <row r="157" spans="1:2" ht="15" customHeight="1" x14ac:dyDescent="0.25">
      <c r="A157" s="27" t="s">
        <v>429</v>
      </c>
      <c r="B157" s="26" t="str">
        <f>IFERROR(INDEX('Images (70)'!$L$6:$L$66,MATCH('Applicant (20)'!$A16&amp;"-"&amp;5,'Images (70)'!$K$6:$K$66,0)),"")</f>
        <v/>
      </c>
    </row>
    <row r="158" spans="1:2" ht="15" customHeight="1" x14ac:dyDescent="0.25">
      <c r="A158" s="27" t="s">
        <v>430</v>
      </c>
      <c r="B158" s="26" t="str">
        <f>IFERROR(INDEX('Images (70)'!$L$6:$L$66,MATCH('Applicant (20)'!$A16&amp;"-"&amp;6,'Images (70)'!$K$6:$K$66,0)),"")</f>
        <v/>
      </c>
    </row>
    <row r="159" spans="1:2" ht="15" customHeight="1" x14ac:dyDescent="0.25">
      <c r="A159" s="25" t="s">
        <v>441</v>
      </c>
      <c r="B159" s="26" t="str">
        <f>'Applicant (20)'!DS17</f>
        <v/>
      </c>
    </row>
    <row r="160" spans="1:2" ht="15" customHeight="1" x14ac:dyDescent="0.25">
      <c r="A160" s="27" t="s">
        <v>418</v>
      </c>
      <c r="B160" s="26" t="str">
        <f>IFERROR(INDEX('Identity (30)'!$O$6:$O$46,MATCH('Applicant (20)'!$A17&amp;"-"&amp;1,'Identity (30)'!$N$6:$N$46,0)),"")</f>
        <v/>
      </c>
    </row>
    <row r="161" spans="1:2" ht="15" customHeight="1" x14ac:dyDescent="0.25">
      <c r="A161" s="27" t="s">
        <v>419</v>
      </c>
      <c r="B161" s="26" t="str">
        <f>IFERROR(INDEX('Identity (30)'!$O$6:$O$46,MATCH('Applicant (20)'!$A17&amp;"-"&amp;2,'Identity (30)'!$N$6:$N$46,0)),"")</f>
        <v/>
      </c>
    </row>
    <row r="162" spans="1:2" ht="15" customHeight="1" x14ac:dyDescent="0.25">
      <c r="A162" s="27" t="s">
        <v>420</v>
      </c>
      <c r="B162" s="26" t="str">
        <f>IFERROR(INDEX('Identity (30)'!$O$6:$O$46,MATCH('Applicant (20)'!$A17&amp;"-"&amp;3,'Identity (30)'!$N$6:$N$46,0)),"")</f>
        <v/>
      </c>
    </row>
    <row r="163" spans="1:2" ht="15" customHeight="1" x14ac:dyDescent="0.25">
      <c r="A163" s="27" t="s">
        <v>421</v>
      </c>
      <c r="B163" s="26" t="str">
        <f>IFERROR(INDEX('Identity (30)'!$O$6:$O$46,MATCH('Applicant (20)'!$A17&amp;"-"&amp;4,'Identity (30)'!$N$6:$N$46,0)),"")</f>
        <v/>
      </c>
    </row>
    <row r="164" spans="1:2" ht="15" customHeight="1" x14ac:dyDescent="0.25">
      <c r="A164" s="27" t="s">
        <v>422</v>
      </c>
      <c r="B164" s="26" t="str">
        <f>IFERROR(INDEX('Related Person (40)'!$CO$6:$CO$26,MATCH('Applicant (20)'!$A17&amp;"-"&amp;1,'Related Person (40)'!$CN$6:$CN$26,0)),"")</f>
        <v/>
      </c>
    </row>
    <row r="165" spans="1:2" ht="15" customHeight="1" x14ac:dyDescent="0.25">
      <c r="A165" s="27" t="s">
        <v>423</v>
      </c>
      <c r="B165" s="26" t="str">
        <f>IFERROR(INDEX('Related Person (40)'!$CO$6:$CO$26,MATCH('Applicant (20)'!$A17&amp;"-"&amp;2,'Related Person (40)'!$CN$6:$CN$26,0)),"")</f>
        <v/>
      </c>
    </row>
    <row r="166" spans="1:2" ht="15" customHeight="1" x14ac:dyDescent="0.25">
      <c r="A166" s="27" t="s">
        <v>424</v>
      </c>
      <c r="B166" s="26" t="str">
        <f>IFERROR(INDEX('Related Person (40)'!$CO$6:$CO$26,MATCH('Applicant (20)'!$A17&amp;"-"&amp;3,'Related Person (40)'!$CN$6:$CN$26,0)),"")</f>
        <v/>
      </c>
    </row>
    <row r="167" spans="1:2" ht="15" customHeight="1" x14ac:dyDescent="0.25">
      <c r="A167" s="27" t="s">
        <v>425</v>
      </c>
      <c r="B167" s="26" t="str">
        <f>IFERROR(INDEX('Images (70)'!$L$6:$L$66,MATCH('Applicant (20)'!$A17&amp;"-"&amp;1,'Images (70)'!$K$6:$K$66,0)),"")</f>
        <v/>
      </c>
    </row>
    <row r="168" spans="1:2" ht="15" customHeight="1" x14ac:dyDescent="0.25">
      <c r="A168" s="27" t="s">
        <v>426</v>
      </c>
      <c r="B168" s="26" t="str">
        <f>IFERROR(INDEX('Images (70)'!$L$6:$L$66,MATCH('Applicant (20)'!$A17&amp;"-"&amp;2,'Images (70)'!$K$6:$K$66,0)),"")</f>
        <v/>
      </c>
    </row>
    <row r="169" spans="1:2" ht="15" customHeight="1" x14ac:dyDescent="0.25">
      <c r="A169" s="27" t="s">
        <v>427</v>
      </c>
      <c r="B169" s="26" t="str">
        <f>IFERROR(INDEX('Images (70)'!$L$6:$L$66,MATCH('Applicant (20)'!$A17&amp;"-"&amp;3,'Images (70)'!$K$6:$K$66,0)),"")</f>
        <v/>
      </c>
    </row>
    <row r="170" spans="1:2" ht="15" customHeight="1" x14ac:dyDescent="0.25">
      <c r="A170" s="27" t="s">
        <v>428</v>
      </c>
      <c r="B170" s="26" t="str">
        <f>IFERROR(INDEX('Images (70)'!$L$6:$L$66,MATCH('Applicant (20)'!$A17&amp;"-"&amp;4,'Images (70)'!$K$6:$K$66,0)),"")</f>
        <v/>
      </c>
    </row>
    <row r="171" spans="1:2" ht="15" customHeight="1" x14ac:dyDescent="0.25">
      <c r="A171" s="27" t="s">
        <v>429</v>
      </c>
      <c r="B171" s="26" t="str">
        <f>IFERROR(INDEX('Images (70)'!$L$6:$L$66,MATCH('Applicant (20)'!$A17&amp;"-"&amp;5,'Images (70)'!$K$6:$K$66,0)),"")</f>
        <v/>
      </c>
    </row>
    <row r="172" spans="1:2" ht="15" customHeight="1" x14ac:dyDescent="0.25">
      <c r="A172" s="27" t="s">
        <v>430</v>
      </c>
      <c r="B172" s="26" t="str">
        <f>IFERROR(INDEX('Images (70)'!$L$6:$L$66,MATCH('Applicant (20)'!$A17&amp;"-"&amp;6,'Images (70)'!$K$6:$K$66,0)),"")</f>
        <v/>
      </c>
    </row>
    <row r="173" spans="1:2" ht="15" customHeight="1" x14ac:dyDescent="0.25">
      <c r="A173" s="25" t="s">
        <v>442</v>
      </c>
      <c r="B173" s="26" t="str">
        <f>'Applicant (20)'!DS18</f>
        <v/>
      </c>
    </row>
    <row r="174" spans="1:2" ht="15" customHeight="1" x14ac:dyDescent="0.25">
      <c r="A174" s="27" t="s">
        <v>418</v>
      </c>
      <c r="B174" s="26" t="str">
        <f>IFERROR(INDEX('Identity (30)'!$O$6:$O$46,MATCH('Applicant (20)'!$A18&amp;"-"&amp;1,'Identity (30)'!$N$6:$N$46,0)),"")</f>
        <v/>
      </c>
    </row>
    <row r="175" spans="1:2" ht="15" customHeight="1" x14ac:dyDescent="0.25">
      <c r="A175" s="27" t="s">
        <v>419</v>
      </c>
      <c r="B175" s="26" t="str">
        <f>IFERROR(INDEX('Identity (30)'!$O$6:$O$46,MATCH('Applicant (20)'!$A18&amp;"-"&amp;2,'Identity (30)'!$N$6:$N$46,0)),"")</f>
        <v/>
      </c>
    </row>
    <row r="176" spans="1:2" ht="15" customHeight="1" x14ac:dyDescent="0.25">
      <c r="A176" s="27" t="s">
        <v>420</v>
      </c>
      <c r="B176" s="26" t="str">
        <f>IFERROR(INDEX('Identity (30)'!$O$6:$O$46,MATCH('Applicant (20)'!$A18&amp;"-"&amp;3,'Identity (30)'!$N$6:$N$46,0)),"")</f>
        <v/>
      </c>
    </row>
    <row r="177" spans="1:2" ht="15" customHeight="1" x14ac:dyDescent="0.25">
      <c r="A177" s="27" t="s">
        <v>421</v>
      </c>
      <c r="B177" s="26" t="str">
        <f>IFERROR(INDEX('Identity (30)'!$O$6:$O$46,MATCH('Applicant (20)'!$A18&amp;"-"&amp;4,'Identity (30)'!$N$6:$N$46,0)),"")</f>
        <v/>
      </c>
    </row>
    <row r="178" spans="1:2" ht="15" customHeight="1" x14ac:dyDescent="0.25">
      <c r="A178" s="27" t="s">
        <v>422</v>
      </c>
      <c r="B178" s="26" t="str">
        <f>IFERROR(INDEX('Related Person (40)'!$CO$6:$CO$26,MATCH('Applicant (20)'!$A18&amp;"-"&amp;1,'Related Person (40)'!$CN$6:$CN$26,0)),"")</f>
        <v/>
      </c>
    </row>
    <row r="179" spans="1:2" ht="15" customHeight="1" x14ac:dyDescent="0.25">
      <c r="A179" s="27" t="s">
        <v>423</v>
      </c>
      <c r="B179" s="26" t="str">
        <f>IFERROR(INDEX('Related Person (40)'!$CO$6:$CO$26,MATCH('Applicant (20)'!$A18&amp;"-"&amp;2,'Related Person (40)'!$CN$6:$CN$26,0)),"")</f>
        <v/>
      </c>
    </row>
    <row r="180" spans="1:2" ht="15" customHeight="1" x14ac:dyDescent="0.25">
      <c r="A180" s="27" t="s">
        <v>424</v>
      </c>
      <c r="B180" s="26" t="str">
        <f>IFERROR(INDEX('Related Person (40)'!$CO$6:$CO$26,MATCH('Applicant (20)'!$A18&amp;"-"&amp;3,'Related Person (40)'!$CN$6:$CN$26,0)),"")</f>
        <v/>
      </c>
    </row>
    <row r="181" spans="1:2" ht="15" customHeight="1" x14ac:dyDescent="0.25">
      <c r="A181" s="27" t="s">
        <v>425</v>
      </c>
      <c r="B181" s="26" t="str">
        <f>IFERROR(INDEX('Images (70)'!$L$6:$L$66,MATCH('Applicant (20)'!$A18&amp;"-"&amp;1,'Images (70)'!$K$6:$K$66,0)),"")</f>
        <v/>
      </c>
    </row>
    <row r="182" spans="1:2" ht="15" customHeight="1" x14ac:dyDescent="0.25">
      <c r="A182" s="27" t="s">
        <v>426</v>
      </c>
      <c r="B182" s="26" t="str">
        <f>IFERROR(INDEX('Images (70)'!$L$6:$L$66,MATCH('Applicant (20)'!$A18&amp;"-"&amp;2,'Images (70)'!$K$6:$K$66,0)),"")</f>
        <v/>
      </c>
    </row>
    <row r="183" spans="1:2" ht="15" customHeight="1" x14ac:dyDescent="0.25">
      <c r="A183" s="27" t="s">
        <v>427</v>
      </c>
      <c r="B183" s="26" t="str">
        <f>IFERROR(INDEX('Images (70)'!$L$6:$L$66,MATCH('Applicant (20)'!$A18&amp;"-"&amp;3,'Images (70)'!$K$6:$K$66,0)),"")</f>
        <v/>
      </c>
    </row>
    <row r="184" spans="1:2" ht="15" customHeight="1" x14ac:dyDescent="0.25">
      <c r="A184" s="27" t="s">
        <v>428</v>
      </c>
      <c r="B184" s="26" t="str">
        <f>IFERROR(INDEX('Images (70)'!$L$6:$L$66,MATCH('Applicant (20)'!$A18&amp;"-"&amp;4,'Images (70)'!$K$6:$K$66,0)),"")</f>
        <v/>
      </c>
    </row>
    <row r="185" spans="1:2" ht="15" customHeight="1" x14ac:dyDescent="0.25">
      <c r="A185" s="27" t="s">
        <v>429</v>
      </c>
      <c r="B185" s="26" t="str">
        <f>IFERROR(INDEX('Images (70)'!$L$6:$L$66,MATCH('Applicant (20)'!$A18&amp;"-"&amp;5,'Images (70)'!$K$6:$K$66,0)),"")</f>
        <v/>
      </c>
    </row>
    <row r="186" spans="1:2" ht="15" customHeight="1" x14ac:dyDescent="0.25">
      <c r="A186" s="27" t="s">
        <v>430</v>
      </c>
      <c r="B186" s="26" t="str">
        <f>IFERROR(INDEX('Images (70)'!$L$6:$L$66,MATCH('Applicant (20)'!$A18&amp;"-"&amp;6,'Images (70)'!$K$6:$K$66,0)),"")</f>
        <v/>
      </c>
    </row>
    <row r="187" spans="1:2" ht="15" customHeight="1" x14ac:dyDescent="0.25">
      <c r="A187" s="25" t="s">
        <v>443</v>
      </c>
      <c r="B187" s="26" t="str">
        <f>'Applicant (20)'!DS19</f>
        <v/>
      </c>
    </row>
    <row r="188" spans="1:2" ht="15" customHeight="1" x14ac:dyDescent="0.25">
      <c r="A188" s="27" t="s">
        <v>418</v>
      </c>
      <c r="B188" s="26" t="str">
        <f>IFERROR(INDEX('Identity (30)'!$O$6:$O$46,MATCH('Applicant (20)'!$A19&amp;"-"&amp;1,'Identity (30)'!$N$6:$N$46,0)),"")</f>
        <v/>
      </c>
    </row>
    <row r="189" spans="1:2" ht="15" customHeight="1" x14ac:dyDescent="0.25">
      <c r="A189" s="27" t="s">
        <v>419</v>
      </c>
      <c r="B189" s="26" t="str">
        <f>IFERROR(INDEX('Identity (30)'!$O$6:$O$46,MATCH('Applicant (20)'!$A19&amp;"-"&amp;2,'Identity (30)'!$N$6:$N$46,0)),"")</f>
        <v/>
      </c>
    </row>
    <row r="190" spans="1:2" ht="15" customHeight="1" x14ac:dyDescent="0.25">
      <c r="A190" s="27" t="s">
        <v>420</v>
      </c>
      <c r="B190" s="26" t="str">
        <f>IFERROR(INDEX('Identity (30)'!$O$6:$O$46,MATCH('Applicant (20)'!$A19&amp;"-"&amp;3,'Identity (30)'!$N$6:$N$46,0)),"")</f>
        <v/>
      </c>
    </row>
    <row r="191" spans="1:2" ht="15" customHeight="1" x14ac:dyDescent="0.25">
      <c r="A191" s="27" t="s">
        <v>421</v>
      </c>
      <c r="B191" s="26" t="str">
        <f>IFERROR(INDEX('Identity (30)'!$O$6:$O$46,MATCH('Applicant (20)'!$A19&amp;"-"&amp;4,'Identity (30)'!$N$6:$N$46,0)),"")</f>
        <v/>
      </c>
    </row>
    <row r="192" spans="1:2" ht="15" customHeight="1" x14ac:dyDescent="0.25">
      <c r="A192" s="27" t="s">
        <v>422</v>
      </c>
      <c r="B192" s="26" t="str">
        <f>IFERROR(INDEX('Related Person (40)'!$CO$6:$CO$26,MATCH('Applicant (20)'!$A19&amp;"-"&amp;1,'Related Person (40)'!$CN$6:$CN$26,0)),"")</f>
        <v/>
      </c>
    </row>
    <row r="193" spans="1:2" ht="15" customHeight="1" x14ac:dyDescent="0.25">
      <c r="A193" s="27" t="s">
        <v>423</v>
      </c>
      <c r="B193" s="26" t="str">
        <f>IFERROR(INDEX('Related Person (40)'!$CO$6:$CO$26,MATCH('Applicant (20)'!$A19&amp;"-"&amp;2,'Related Person (40)'!$CN$6:$CN$26,0)),"")</f>
        <v/>
      </c>
    </row>
    <row r="194" spans="1:2" ht="15" customHeight="1" x14ac:dyDescent="0.25">
      <c r="A194" s="27" t="s">
        <v>424</v>
      </c>
      <c r="B194" s="26" t="str">
        <f>IFERROR(INDEX('Related Person (40)'!$CO$6:$CO$26,MATCH('Applicant (20)'!$A19&amp;"-"&amp;3,'Related Person (40)'!$CN$6:$CN$26,0)),"")</f>
        <v/>
      </c>
    </row>
    <row r="195" spans="1:2" ht="15" customHeight="1" x14ac:dyDescent="0.25">
      <c r="A195" s="27" t="s">
        <v>425</v>
      </c>
      <c r="B195" s="26" t="str">
        <f>IFERROR(INDEX('Images (70)'!$L$6:$L$66,MATCH('Applicant (20)'!$A19&amp;"-"&amp;1,'Images (70)'!$K$6:$K$66,0)),"")</f>
        <v/>
      </c>
    </row>
    <row r="196" spans="1:2" ht="15" customHeight="1" x14ac:dyDescent="0.25">
      <c r="A196" s="27" t="s">
        <v>426</v>
      </c>
      <c r="B196" s="26" t="str">
        <f>IFERROR(INDEX('Images (70)'!$L$6:$L$66,MATCH('Applicant (20)'!$A19&amp;"-"&amp;2,'Images (70)'!$K$6:$K$66,0)),"")</f>
        <v/>
      </c>
    </row>
    <row r="197" spans="1:2" ht="15" customHeight="1" x14ac:dyDescent="0.25">
      <c r="A197" s="27" t="s">
        <v>427</v>
      </c>
      <c r="B197" s="26" t="str">
        <f>IFERROR(INDEX('Images (70)'!$L$6:$L$66,MATCH('Applicant (20)'!$A19&amp;"-"&amp;3,'Images (70)'!$K$6:$K$66,0)),"")</f>
        <v/>
      </c>
    </row>
    <row r="198" spans="1:2" ht="15" customHeight="1" x14ac:dyDescent="0.25">
      <c r="A198" s="27" t="s">
        <v>428</v>
      </c>
      <c r="B198" s="26" t="str">
        <f>IFERROR(INDEX('Images (70)'!$L$6:$L$66,MATCH('Applicant (20)'!$A19&amp;"-"&amp;4,'Images (70)'!$K$6:$K$66,0)),"")</f>
        <v/>
      </c>
    </row>
    <row r="199" spans="1:2" ht="15" customHeight="1" x14ac:dyDescent="0.25">
      <c r="A199" s="27" t="s">
        <v>429</v>
      </c>
      <c r="B199" s="26" t="str">
        <f>IFERROR(INDEX('Images (70)'!$L$6:$L$66,MATCH('Applicant (20)'!$A19&amp;"-"&amp;5,'Images (70)'!$K$6:$K$66,0)),"")</f>
        <v/>
      </c>
    </row>
    <row r="200" spans="1:2" ht="15" customHeight="1" x14ac:dyDescent="0.25">
      <c r="A200" s="27" t="s">
        <v>430</v>
      </c>
      <c r="B200" s="26" t="str">
        <f>IFERROR(INDEX('Images (70)'!$L$6:$L$66,MATCH('Applicant (20)'!$A19&amp;"-"&amp;6,'Images (70)'!$K$6:$K$66,0)),"")</f>
        <v/>
      </c>
    </row>
    <row r="201" spans="1:2" ht="15" customHeight="1" x14ac:dyDescent="0.25">
      <c r="A201" s="25" t="s">
        <v>444</v>
      </c>
      <c r="B201" s="26" t="str">
        <f>'Applicant (20)'!DS20</f>
        <v/>
      </c>
    </row>
    <row r="202" spans="1:2" ht="15" customHeight="1" x14ac:dyDescent="0.25">
      <c r="A202" s="27" t="s">
        <v>418</v>
      </c>
      <c r="B202" s="26" t="str">
        <f>IFERROR(INDEX('Identity (30)'!$O$6:$O$46,MATCH('Applicant (20)'!$A20&amp;"-"&amp;1,'Identity (30)'!$N$6:$N$46,0)),"")</f>
        <v/>
      </c>
    </row>
    <row r="203" spans="1:2" ht="15" customHeight="1" x14ac:dyDescent="0.25">
      <c r="A203" s="27" t="s">
        <v>419</v>
      </c>
      <c r="B203" s="26" t="str">
        <f>IFERROR(INDEX('Identity (30)'!$O$6:$O$46,MATCH('Applicant (20)'!$A20&amp;"-"&amp;2,'Identity (30)'!$N$6:$N$46,0)),"")</f>
        <v/>
      </c>
    </row>
    <row r="204" spans="1:2" ht="15" customHeight="1" x14ac:dyDescent="0.25">
      <c r="A204" s="27" t="s">
        <v>420</v>
      </c>
      <c r="B204" s="26" t="str">
        <f>IFERROR(INDEX('Identity (30)'!$O$6:$O$46,MATCH('Applicant (20)'!$A20&amp;"-"&amp;3,'Identity (30)'!$N$6:$N$46,0)),"")</f>
        <v/>
      </c>
    </row>
    <row r="205" spans="1:2" ht="15" customHeight="1" x14ac:dyDescent="0.25">
      <c r="A205" s="27" t="s">
        <v>421</v>
      </c>
      <c r="B205" s="26" t="str">
        <f>IFERROR(INDEX('Identity (30)'!$O$6:$O$46,MATCH('Applicant (20)'!$A20&amp;"-"&amp;4,'Identity (30)'!$N$6:$N$46,0)),"")</f>
        <v/>
      </c>
    </row>
    <row r="206" spans="1:2" ht="15" customHeight="1" x14ac:dyDescent="0.25">
      <c r="A206" s="27" t="s">
        <v>422</v>
      </c>
      <c r="B206" s="26" t="str">
        <f>IFERROR(INDEX('Related Person (40)'!$CO$6:$CO$26,MATCH('Applicant (20)'!$A20&amp;"-"&amp;1,'Related Person (40)'!$CN$6:$CN$26,0)),"")</f>
        <v/>
      </c>
    </row>
    <row r="207" spans="1:2" ht="15" customHeight="1" x14ac:dyDescent="0.25">
      <c r="A207" s="27" t="s">
        <v>423</v>
      </c>
      <c r="B207" s="26" t="str">
        <f>IFERROR(INDEX('Related Person (40)'!$CO$6:$CO$26,MATCH('Applicant (20)'!$A20&amp;"-"&amp;2,'Related Person (40)'!$CN$6:$CN$26,0)),"")</f>
        <v/>
      </c>
    </row>
    <row r="208" spans="1:2" ht="15" customHeight="1" x14ac:dyDescent="0.25">
      <c r="A208" s="27" t="s">
        <v>424</v>
      </c>
      <c r="B208" s="26" t="str">
        <f>IFERROR(INDEX('Related Person (40)'!$CO$6:$CO$26,MATCH('Applicant (20)'!$A20&amp;"-"&amp;3,'Related Person (40)'!$CN$6:$CN$26,0)),"")</f>
        <v/>
      </c>
    </row>
    <row r="209" spans="1:2" ht="15" customHeight="1" x14ac:dyDescent="0.25">
      <c r="A209" s="27" t="s">
        <v>425</v>
      </c>
      <c r="B209" s="26" t="str">
        <f>IFERROR(INDEX('Images (70)'!$L$6:$L$66,MATCH('Applicant (20)'!$A20&amp;"-"&amp;1,'Images (70)'!$K$6:$K$66,0)),"")</f>
        <v/>
      </c>
    </row>
    <row r="210" spans="1:2" ht="15" customHeight="1" x14ac:dyDescent="0.25">
      <c r="A210" s="27" t="s">
        <v>426</v>
      </c>
      <c r="B210" s="26" t="str">
        <f>IFERROR(INDEX('Images (70)'!$L$6:$L$66,MATCH('Applicant (20)'!$A20&amp;"-"&amp;2,'Images (70)'!$K$6:$K$66,0)),"")</f>
        <v/>
      </c>
    </row>
    <row r="211" spans="1:2" ht="15" customHeight="1" x14ac:dyDescent="0.25">
      <c r="A211" s="27" t="s">
        <v>427</v>
      </c>
      <c r="B211" s="26" t="str">
        <f>IFERROR(INDEX('Images (70)'!$L$6:$L$66,MATCH('Applicant (20)'!$A20&amp;"-"&amp;3,'Images (70)'!$K$6:$K$66,0)),"")</f>
        <v/>
      </c>
    </row>
    <row r="212" spans="1:2" ht="15" customHeight="1" x14ac:dyDescent="0.25">
      <c r="A212" s="27" t="s">
        <v>428</v>
      </c>
      <c r="B212" s="26" t="str">
        <f>IFERROR(INDEX('Images (70)'!$L$6:$L$66,MATCH('Applicant (20)'!$A20&amp;"-"&amp;4,'Images (70)'!$K$6:$K$66,0)),"")</f>
        <v/>
      </c>
    </row>
    <row r="213" spans="1:2" ht="15" customHeight="1" x14ac:dyDescent="0.25">
      <c r="A213" s="27" t="s">
        <v>429</v>
      </c>
      <c r="B213" s="26" t="str">
        <f>IFERROR(INDEX('Images (70)'!$L$6:$L$66,MATCH('Applicant (20)'!$A20&amp;"-"&amp;5,'Images (70)'!$K$6:$K$66,0)),"")</f>
        <v/>
      </c>
    </row>
    <row r="214" spans="1:2" ht="15" customHeight="1" x14ac:dyDescent="0.25">
      <c r="A214" s="27" t="s">
        <v>430</v>
      </c>
      <c r="B214" s="26" t="str">
        <f>IFERROR(INDEX('Images (70)'!$L$6:$L$66,MATCH('Applicant (20)'!$A20&amp;"-"&amp;6,'Images (70)'!$K$6:$K$66,0)),"")</f>
        <v/>
      </c>
    </row>
    <row r="215" spans="1:2" ht="15" customHeight="1" x14ac:dyDescent="0.25">
      <c r="A215" s="25" t="s">
        <v>445</v>
      </c>
      <c r="B215" s="26" t="str">
        <f>'Applicant (20)'!DS21</f>
        <v/>
      </c>
    </row>
    <row r="216" spans="1:2" ht="15" customHeight="1" x14ac:dyDescent="0.25">
      <c r="A216" s="27" t="s">
        <v>418</v>
      </c>
      <c r="B216" s="26" t="str">
        <f>IFERROR(INDEX('Identity (30)'!$O$6:$O$46,MATCH('Applicant (20)'!$A21&amp;"-"&amp;1,'Identity (30)'!$N$6:$N$46,0)),"")</f>
        <v/>
      </c>
    </row>
    <row r="217" spans="1:2" ht="15" customHeight="1" x14ac:dyDescent="0.25">
      <c r="A217" s="27" t="s">
        <v>419</v>
      </c>
      <c r="B217" s="26" t="str">
        <f>IFERROR(INDEX('Identity (30)'!$O$6:$O$46,MATCH('Applicant (20)'!$A21&amp;"-"&amp;2,'Identity (30)'!$N$6:$N$46,0)),"")</f>
        <v/>
      </c>
    </row>
    <row r="218" spans="1:2" ht="15" customHeight="1" x14ac:dyDescent="0.25">
      <c r="A218" s="27" t="s">
        <v>420</v>
      </c>
      <c r="B218" s="26" t="str">
        <f>IFERROR(INDEX('Identity (30)'!$O$6:$O$46,MATCH('Applicant (20)'!$A21&amp;"-"&amp;3,'Identity (30)'!$N$6:$N$46,0)),"")</f>
        <v/>
      </c>
    </row>
    <row r="219" spans="1:2" ht="15" customHeight="1" x14ac:dyDescent="0.25">
      <c r="A219" s="27" t="s">
        <v>421</v>
      </c>
      <c r="B219" s="26" t="str">
        <f>IFERROR(INDEX('Identity (30)'!$O$6:$O$46,MATCH('Applicant (20)'!$A21&amp;"-"&amp;4,'Identity (30)'!$N$6:$N$46,0)),"")</f>
        <v/>
      </c>
    </row>
    <row r="220" spans="1:2" ht="15" customHeight="1" x14ac:dyDescent="0.25">
      <c r="A220" s="27" t="s">
        <v>422</v>
      </c>
      <c r="B220" s="26" t="str">
        <f>IFERROR(INDEX('Related Person (40)'!$CO$6:$CO$26,MATCH('Applicant (20)'!$A21&amp;"-"&amp;1,'Related Person (40)'!$CN$6:$CN$26,0)),"")</f>
        <v/>
      </c>
    </row>
    <row r="221" spans="1:2" ht="15" customHeight="1" x14ac:dyDescent="0.25">
      <c r="A221" s="27" t="s">
        <v>423</v>
      </c>
      <c r="B221" s="26" t="str">
        <f>IFERROR(INDEX('Related Person (40)'!$CO$6:$CO$26,MATCH('Applicant (20)'!$A21&amp;"-"&amp;2,'Related Person (40)'!$CN$6:$CN$26,0)),"")</f>
        <v/>
      </c>
    </row>
    <row r="222" spans="1:2" ht="15" customHeight="1" x14ac:dyDescent="0.25">
      <c r="A222" s="27" t="s">
        <v>424</v>
      </c>
      <c r="B222" s="26" t="str">
        <f>IFERROR(INDEX('Related Person (40)'!$CO$6:$CO$26,MATCH('Applicant (20)'!$A21&amp;"-"&amp;3,'Related Person (40)'!$CN$6:$CN$26,0)),"")</f>
        <v/>
      </c>
    </row>
    <row r="223" spans="1:2" ht="15" customHeight="1" x14ac:dyDescent="0.25">
      <c r="A223" s="27" t="s">
        <v>425</v>
      </c>
      <c r="B223" s="26" t="str">
        <f>IFERROR(INDEX('Images (70)'!$L$6:$L$66,MATCH('Applicant (20)'!$A21&amp;"-"&amp;1,'Images (70)'!$K$6:$K$66,0)),"")</f>
        <v/>
      </c>
    </row>
    <row r="224" spans="1:2" ht="15" customHeight="1" x14ac:dyDescent="0.25">
      <c r="A224" s="27" t="s">
        <v>426</v>
      </c>
      <c r="B224" s="26" t="str">
        <f>IFERROR(INDEX('Images (70)'!$L$6:$L$66,MATCH('Applicant (20)'!$A21&amp;"-"&amp;2,'Images (70)'!$K$6:$K$66,0)),"")</f>
        <v/>
      </c>
    </row>
    <row r="225" spans="1:2" ht="15" customHeight="1" x14ac:dyDescent="0.25">
      <c r="A225" s="27" t="s">
        <v>427</v>
      </c>
      <c r="B225" s="26" t="str">
        <f>IFERROR(INDEX('Images (70)'!$L$6:$L$66,MATCH('Applicant (20)'!$A21&amp;"-"&amp;3,'Images (70)'!$K$6:$K$66,0)),"")</f>
        <v/>
      </c>
    </row>
    <row r="226" spans="1:2" ht="15" customHeight="1" x14ac:dyDescent="0.25">
      <c r="A226" s="27" t="s">
        <v>428</v>
      </c>
      <c r="B226" s="26" t="str">
        <f>IFERROR(INDEX('Images (70)'!$L$6:$L$66,MATCH('Applicant (20)'!$A21&amp;"-"&amp;4,'Images (70)'!$K$6:$K$66,0)),"")</f>
        <v/>
      </c>
    </row>
    <row r="227" spans="1:2" ht="15" customHeight="1" x14ac:dyDescent="0.25">
      <c r="A227" s="27" t="s">
        <v>429</v>
      </c>
      <c r="B227" s="26" t="str">
        <f>IFERROR(INDEX('Images (70)'!$L$6:$L$66,MATCH('Applicant (20)'!$A21&amp;"-"&amp;5,'Images (70)'!$K$6:$K$66,0)),"")</f>
        <v/>
      </c>
    </row>
    <row r="228" spans="1:2" ht="15" customHeight="1" x14ac:dyDescent="0.25">
      <c r="A228" s="27" t="s">
        <v>430</v>
      </c>
      <c r="B228" s="26" t="str">
        <f>IFERROR(INDEX('Images (70)'!$L$6:$L$66,MATCH('Applicant (20)'!$A21&amp;"-"&amp;6,'Images (70)'!$K$6:$K$66,0)),"")</f>
        <v/>
      </c>
    </row>
    <row r="229" spans="1:2" ht="15" customHeight="1" x14ac:dyDescent="0.25">
      <c r="A229" s="25" t="s">
        <v>446</v>
      </c>
      <c r="B229" s="26" t="str">
        <f>'Applicant (20)'!DS22</f>
        <v/>
      </c>
    </row>
    <row r="230" spans="1:2" ht="15" customHeight="1" x14ac:dyDescent="0.25">
      <c r="A230" s="27" t="s">
        <v>418</v>
      </c>
      <c r="B230" s="26" t="str">
        <f>IFERROR(INDEX('Identity (30)'!$O$6:$O$46,MATCH('Applicant (20)'!$A22&amp;"-"&amp;1,'Identity (30)'!$N$6:$N$46,0)),"")</f>
        <v/>
      </c>
    </row>
    <row r="231" spans="1:2" ht="15" customHeight="1" x14ac:dyDescent="0.25">
      <c r="A231" s="27" t="s">
        <v>419</v>
      </c>
      <c r="B231" s="26" t="str">
        <f>IFERROR(INDEX('Identity (30)'!$O$6:$O$46,MATCH('Applicant (20)'!$A22&amp;"-"&amp;2,'Identity (30)'!$N$6:$N$46,0)),"")</f>
        <v/>
      </c>
    </row>
    <row r="232" spans="1:2" ht="15" customHeight="1" x14ac:dyDescent="0.25">
      <c r="A232" s="27" t="s">
        <v>420</v>
      </c>
      <c r="B232" s="26" t="str">
        <f>IFERROR(INDEX('Identity (30)'!$O$6:$O$46,MATCH('Applicant (20)'!$A22&amp;"-"&amp;3,'Identity (30)'!$N$6:$N$46,0)),"")</f>
        <v/>
      </c>
    </row>
    <row r="233" spans="1:2" ht="15" customHeight="1" x14ac:dyDescent="0.25">
      <c r="A233" s="27" t="s">
        <v>421</v>
      </c>
      <c r="B233" s="26" t="str">
        <f>IFERROR(INDEX('Identity (30)'!$O$6:$O$46,MATCH('Applicant (20)'!$A22&amp;"-"&amp;4,'Identity (30)'!$N$6:$N$46,0)),"")</f>
        <v/>
      </c>
    </row>
    <row r="234" spans="1:2" ht="15" customHeight="1" x14ac:dyDescent="0.25">
      <c r="A234" s="27" t="s">
        <v>422</v>
      </c>
      <c r="B234" s="26" t="str">
        <f>IFERROR(INDEX('Related Person (40)'!$CO$6:$CO$26,MATCH('Applicant (20)'!$A22&amp;"-"&amp;1,'Related Person (40)'!$CN$6:$CN$26,0)),"")</f>
        <v/>
      </c>
    </row>
    <row r="235" spans="1:2" ht="15" customHeight="1" x14ac:dyDescent="0.25">
      <c r="A235" s="27" t="s">
        <v>423</v>
      </c>
      <c r="B235" s="26" t="str">
        <f>IFERROR(INDEX('Related Person (40)'!$CO$6:$CO$26,MATCH('Applicant (20)'!$A22&amp;"-"&amp;2,'Related Person (40)'!$CN$6:$CN$26,0)),"")</f>
        <v/>
      </c>
    </row>
    <row r="236" spans="1:2" ht="15" customHeight="1" x14ac:dyDescent="0.25">
      <c r="A236" s="27" t="s">
        <v>424</v>
      </c>
      <c r="B236" s="26" t="str">
        <f>IFERROR(INDEX('Related Person (40)'!$CO$6:$CO$26,MATCH('Applicant (20)'!$A22&amp;"-"&amp;3,'Related Person (40)'!$CN$6:$CN$26,0)),"")</f>
        <v/>
      </c>
    </row>
    <row r="237" spans="1:2" ht="15" customHeight="1" x14ac:dyDescent="0.25">
      <c r="A237" s="27" t="s">
        <v>425</v>
      </c>
      <c r="B237" s="26" t="str">
        <f>IFERROR(INDEX('Images (70)'!$L$6:$L$66,MATCH('Applicant (20)'!$A22&amp;"-"&amp;1,'Images (70)'!$K$6:$K$66,0)),"")</f>
        <v/>
      </c>
    </row>
    <row r="238" spans="1:2" ht="15" customHeight="1" x14ac:dyDescent="0.25">
      <c r="A238" s="27" t="s">
        <v>426</v>
      </c>
      <c r="B238" s="26" t="str">
        <f>IFERROR(INDEX('Images (70)'!$L$6:$L$66,MATCH('Applicant (20)'!$A22&amp;"-"&amp;2,'Images (70)'!$K$6:$K$66,0)),"")</f>
        <v/>
      </c>
    </row>
    <row r="239" spans="1:2" ht="15" customHeight="1" x14ac:dyDescent="0.25">
      <c r="A239" s="27" t="s">
        <v>427</v>
      </c>
      <c r="B239" s="26" t="str">
        <f>IFERROR(INDEX('Images (70)'!$L$6:$L$66,MATCH('Applicant (20)'!$A22&amp;"-"&amp;3,'Images (70)'!$K$6:$K$66,0)),"")</f>
        <v/>
      </c>
    </row>
    <row r="240" spans="1:2" ht="15" customHeight="1" x14ac:dyDescent="0.25">
      <c r="A240" s="27" t="s">
        <v>428</v>
      </c>
      <c r="B240" s="26" t="str">
        <f>IFERROR(INDEX('Images (70)'!$L$6:$L$66,MATCH('Applicant (20)'!$A22&amp;"-"&amp;4,'Images (70)'!$K$6:$K$66,0)),"")</f>
        <v/>
      </c>
    </row>
    <row r="241" spans="1:2" ht="15" customHeight="1" x14ac:dyDescent="0.25">
      <c r="A241" s="27" t="s">
        <v>429</v>
      </c>
      <c r="B241" s="26" t="str">
        <f>IFERROR(INDEX('Images (70)'!$L$6:$L$66,MATCH('Applicant (20)'!$A22&amp;"-"&amp;5,'Images (70)'!$K$6:$K$66,0)),"")</f>
        <v/>
      </c>
    </row>
    <row r="242" spans="1:2" ht="15" customHeight="1" x14ac:dyDescent="0.25">
      <c r="A242" s="27" t="s">
        <v>430</v>
      </c>
      <c r="B242" s="26" t="str">
        <f>IFERROR(INDEX('Images (70)'!$L$6:$L$66,MATCH('Applicant (20)'!$A22&amp;"-"&amp;6,'Images (70)'!$K$6:$K$66,0)),"")</f>
        <v/>
      </c>
    </row>
    <row r="243" spans="1:2" ht="15" customHeight="1" x14ac:dyDescent="0.25">
      <c r="A243" s="25" t="s">
        <v>447</v>
      </c>
      <c r="B243" s="26" t="str">
        <f>'Applicant (20)'!DS23</f>
        <v/>
      </c>
    </row>
    <row r="244" spans="1:2" ht="15" customHeight="1" x14ac:dyDescent="0.25">
      <c r="A244" s="27" t="s">
        <v>418</v>
      </c>
      <c r="B244" s="26" t="str">
        <f>IFERROR(INDEX('Identity (30)'!$O$6:$O$46,MATCH('Applicant (20)'!$A23&amp;"-"&amp;1,'Identity (30)'!$N$6:$N$46,0)),"")</f>
        <v/>
      </c>
    </row>
    <row r="245" spans="1:2" ht="15" customHeight="1" x14ac:dyDescent="0.25">
      <c r="A245" s="27" t="s">
        <v>419</v>
      </c>
      <c r="B245" s="26" t="str">
        <f>IFERROR(INDEX('Identity (30)'!$O$6:$O$46,MATCH('Applicant (20)'!$A23&amp;"-"&amp;2,'Identity (30)'!$N$6:$N$46,0)),"")</f>
        <v/>
      </c>
    </row>
    <row r="246" spans="1:2" ht="15" customHeight="1" x14ac:dyDescent="0.25">
      <c r="A246" s="27" t="s">
        <v>420</v>
      </c>
      <c r="B246" s="26" t="str">
        <f>IFERROR(INDEX('Identity (30)'!$O$6:$O$46,MATCH('Applicant (20)'!$A23&amp;"-"&amp;3,'Identity (30)'!$N$6:$N$46,0)),"")</f>
        <v/>
      </c>
    </row>
    <row r="247" spans="1:2" ht="15" customHeight="1" x14ac:dyDescent="0.25">
      <c r="A247" s="27" t="s">
        <v>421</v>
      </c>
      <c r="B247" s="26" t="str">
        <f>IFERROR(INDEX('Identity (30)'!$O$6:$O$46,MATCH('Applicant (20)'!$A23&amp;"-"&amp;4,'Identity (30)'!$N$6:$N$46,0)),"")</f>
        <v/>
      </c>
    </row>
    <row r="248" spans="1:2" ht="15" customHeight="1" x14ac:dyDescent="0.25">
      <c r="A248" s="27" t="s">
        <v>422</v>
      </c>
      <c r="B248" s="26" t="str">
        <f>IFERROR(INDEX('Related Person (40)'!$CO$6:$CO$26,MATCH('Applicant (20)'!$A23&amp;"-"&amp;1,'Related Person (40)'!$CN$6:$CN$26,0)),"")</f>
        <v/>
      </c>
    </row>
    <row r="249" spans="1:2" ht="15" customHeight="1" x14ac:dyDescent="0.25">
      <c r="A249" s="27" t="s">
        <v>423</v>
      </c>
      <c r="B249" s="26" t="str">
        <f>IFERROR(INDEX('Related Person (40)'!$CO$6:$CO$26,MATCH('Applicant (20)'!$A23&amp;"-"&amp;2,'Related Person (40)'!$CN$6:$CN$26,0)),"")</f>
        <v/>
      </c>
    </row>
    <row r="250" spans="1:2" ht="15" customHeight="1" x14ac:dyDescent="0.25">
      <c r="A250" s="27" t="s">
        <v>424</v>
      </c>
      <c r="B250" s="26" t="str">
        <f>IFERROR(INDEX('Related Person (40)'!$CO$6:$CO$26,MATCH('Applicant (20)'!$A23&amp;"-"&amp;3,'Related Person (40)'!$CN$6:$CN$26,0)),"")</f>
        <v/>
      </c>
    </row>
    <row r="251" spans="1:2" ht="15" customHeight="1" x14ac:dyDescent="0.25">
      <c r="A251" s="27" t="s">
        <v>425</v>
      </c>
      <c r="B251" s="26" t="str">
        <f>IFERROR(INDEX('Images (70)'!$L$6:$L$66,MATCH('Applicant (20)'!$A23&amp;"-"&amp;1,'Images (70)'!$K$6:$K$66,0)),"")</f>
        <v/>
      </c>
    </row>
    <row r="252" spans="1:2" ht="15" customHeight="1" x14ac:dyDescent="0.25">
      <c r="A252" s="27" t="s">
        <v>426</v>
      </c>
      <c r="B252" s="26" t="str">
        <f>IFERROR(INDEX('Images (70)'!$L$6:$L$66,MATCH('Applicant (20)'!$A23&amp;"-"&amp;2,'Images (70)'!$K$6:$K$66,0)),"")</f>
        <v/>
      </c>
    </row>
    <row r="253" spans="1:2" ht="15" customHeight="1" x14ac:dyDescent="0.25">
      <c r="A253" s="27" t="s">
        <v>427</v>
      </c>
      <c r="B253" s="26" t="str">
        <f>IFERROR(INDEX('Images (70)'!$L$6:$L$66,MATCH('Applicant (20)'!$A23&amp;"-"&amp;3,'Images (70)'!$K$6:$K$66,0)),"")</f>
        <v/>
      </c>
    </row>
    <row r="254" spans="1:2" ht="15" customHeight="1" x14ac:dyDescent="0.25">
      <c r="A254" s="27" t="s">
        <v>428</v>
      </c>
      <c r="B254" s="26" t="str">
        <f>IFERROR(INDEX('Images (70)'!$L$6:$L$66,MATCH('Applicant (20)'!$A23&amp;"-"&amp;4,'Images (70)'!$K$6:$K$66,0)),"")</f>
        <v/>
      </c>
    </row>
    <row r="255" spans="1:2" ht="15" customHeight="1" x14ac:dyDescent="0.25">
      <c r="A255" s="27" t="s">
        <v>429</v>
      </c>
      <c r="B255" s="26" t="str">
        <f>IFERROR(INDEX('Images (70)'!$L$6:$L$66,MATCH('Applicant (20)'!$A23&amp;"-"&amp;5,'Images (70)'!$K$6:$K$66,0)),"")</f>
        <v/>
      </c>
    </row>
    <row r="256" spans="1:2" ht="15" customHeight="1" x14ac:dyDescent="0.25">
      <c r="A256" s="27" t="s">
        <v>430</v>
      </c>
      <c r="B256" s="26" t="str">
        <f>IFERROR(INDEX('Images (70)'!$L$6:$L$66,MATCH('Applicant (20)'!$A23&amp;"-"&amp;6,'Images (70)'!$K$6:$K$66,0)),"")</f>
        <v/>
      </c>
    </row>
    <row r="257" spans="1:2" ht="15" customHeight="1" x14ac:dyDescent="0.25">
      <c r="A257" s="25" t="s">
        <v>448</v>
      </c>
      <c r="B257" s="26" t="str">
        <f>'Applicant (20)'!DS24</f>
        <v/>
      </c>
    </row>
    <row r="258" spans="1:2" ht="15" customHeight="1" x14ac:dyDescent="0.25">
      <c r="A258" s="27" t="s">
        <v>418</v>
      </c>
      <c r="B258" s="26" t="str">
        <f>IFERROR(INDEX('Identity (30)'!$O$6:$O$46,MATCH('Applicant (20)'!$A24&amp;"-"&amp;1,'Identity (30)'!$N$6:$N$46,0)),"")</f>
        <v/>
      </c>
    </row>
    <row r="259" spans="1:2" ht="15" customHeight="1" x14ac:dyDescent="0.25">
      <c r="A259" s="27" t="s">
        <v>419</v>
      </c>
      <c r="B259" s="26" t="str">
        <f>IFERROR(INDEX('Identity (30)'!$O$6:$O$46,MATCH('Applicant (20)'!$A24&amp;"-"&amp;2,'Identity (30)'!$N$6:$N$46,0)),"")</f>
        <v/>
      </c>
    </row>
    <row r="260" spans="1:2" ht="15" customHeight="1" x14ac:dyDescent="0.25">
      <c r="A260" s="27" t="s">
        <v>420</v>
      </c>
      <c r="B260" s="26" t="str">
        <f>IFERROR(INDEX('Identity (30)'!$O$6:$O$46,MATCH('Applicant (20)'!$A24&amp;"-"&amp;3,'Identity (30)'!$N$6:$N$46,0)),"")</f>
        <v/>
      </c>
    </row>
    <row r="261" spans="1:2" ht="15" customHeight="1" x14ac:dyDescent="0.25">
      <c r="A261" s="27" t="s">
        <v>421</v>
      </c>
      <c r="B261" s="26" t="str">
        <f>IFERROR(INDEX('Identity (30)'!$O$6:$O$46,MATCH('Applicant (20)'!$A24&amp;"-"&amp;4,'Identity (30)'!$N$6:$N$46,0)),"")</f>
        <v/>
      </c>
    </row>
    <row r="262" spans="1:2" ht="15" customHeight="1" x14ac:dyDescent="0.25">
      <c r="A262" s="27" t="s">
        <v>422</v>
      </c>
      <c r="B262" s="26" t="str">
        <f>IFERROR(INDEX('Related Person (40)'!$CO$6:$CO$26,MATCH('Applicant (20)'!$A24&amp;"-"&amp;1,'Related Person (40)'!$CN$6:$CN$26,0)),"")</f>
        <v/>
      </c>
    </row>
    <row r="263" spans="1:2" ht="15" customHeight="1" x14ac:dyDescent="0.25">
      <c r="A263" s="27" t="s">
        <v>423</v>
      </c>
      <c r="B263" s="26" t="str">
        <f>IFERROR(INDEX('Related Person (40)'!$CO$6:$CO$26,MATCH('Applicant (20)'!$A24&amp;"-"&amp;2,'Related Person (40)'!$CN$6:$CN$26,0)),"")</f>
        <v/>
      </c>
    </row>
    <row r="264" spans="1:2" ht="15" customHeight="1" x14ac:dyDescent="0.25">
      <c r="A264" s="27" t="s">
        <v>424</v>
      </c>
      <c r="B264" s="26" t="str">
        <f>IFERROR(INDEX('Related Person (40)'!$CO$6:$CO$26,MATCH('Applicant (20)'!$A24&amp;"-"&amp;3,'Related Person (40)'!$CN$6:$CN$26,0)),"")</f>
        <v/>
      </c>
    </row>
    <row r="265" spans="1:2" ht="15" customHeight="1" x14ac:dyDescent="0.25">
      <c r="A265" s="27" t="s">
        <v>425</v>
      </c>
      <c r="B265" s="26" t="str">
        <f>IFERROR(INDEX('Images (70)'!$L$6:$L$66,MATCH('Applicant (20)'!$A24&amp;"-"&amp;1,'Images (70)'!$K$6:$K$66,0)),"")</f>
        <v/>
      </c>
    </row>
    <row r="266" spans="1:2" ht="15" customHeight="1" x14ac:dyDescent="0.25">
      <c r="A266" s="27" t="s">
        <v>426</v>
      </c>
      <c r="B266" s="26" t="str">
        <f>IFERROR(INDEX('Images (70)'!$L$6:$L$66,MATCH('Applicant (20)'!$A24&amp;"-"&amp;2,'Images (70)'!$K$6:$K$66,0)),"")</f>
        <v/>
      </c>
    </row>
    <row r="267" spans="1:2" ht="15" customHeight="1" x14ac:dyDescent="0.25">
      <c r="A267" s="27" t="s">
        <v>427</v>
      </c>
      <c r="B267" s="26" t="str">
        <f>IFERROR(INDEX('Images (70)'!$L$6:$L$66,MATCH('Applicant (20)'!$A24&amp;"-"&amp;3,'Images (70)'!$K$6:$K$66,0)),"")</f>
        <v/>
      </c>
    </row>
    <row r="268" spans="1:2" ht="15" customHeight="1" x14ac:dyDescent="0.25">
      <c r="A268" s="27" t="s">
        <v>428</v>
      </c>
      <c r="B268" s="26" t="str">
        <f>IFERROR(INDEX('Images (70)'!$L$6:$L$66,MATCH('Applicant (20)'!$A24&amp;"-"&amp;4,'Images (70)'!$K$6:$K$66,0)),"")</f>
        <v/>
      </c>
    </row>
    <row r="269" spans="1:2" ht="15" customHeight="1" x14ac:dyDescent="0.25">
      <c r="A269" s="27" t="s">
        <v>429</v>
      </c>
      <c r="B269" s="26" t="str">
        <f>IFERROR(INDEX('Images (70)'!$L$6:$L$66,MATCH('Applicant (20)'!$A24&amp;"-"&amp;5,'Images (70)'!$K$6:$K$66,0)),"")</f>
        <v/>
      </c>
    </row>
    <row r="270" spans="1:2" ht="15" customHeight="1" x14ac:dyDescent="0.25">
      <c r="A270" s="27" t="s">
        <v>430</v>
      </c>
      <c r="B270" s="26" t="str">
        <f>IFERROR(INDEX('Images (70)'!$L$6:$L$66,MATCH('Applicant (20)'!$A24&amp;"-"&amp;6,'Images (70)'!$K$6:$K$66,0)),"")</f>
        <v/>
      </c>
    </row>
    <row r="271" spans="1:2" ht="15" customHeight="1" x14ac:dyDescent="0.25">
      <c r="A271" s="25" t="s">
        <v>449</v>
      </c>
      <c r="B271" s="26" t="str">
        <f>'Applicant (20)'!DS25</f>
        <v/>
      </c>
    </row>
    <row r="272" spans="1:2" ht="15" customHeight="1" x14ac:dyDescent="0.25">
      <c r="A272" s="27" t="s">
        <v>418</v>
      </c>
      <c r="B272" s="26" t="str">
        <f>IFERROR(INDEX('Identity (30)'!$O$6:$O$46,MATCH('Applicant (20)'!$A25&amp;"-"&amp;1,'Identity (30)'!$N$6:$N$46,0)),"")</f>
        <v/>
      </c>
    </row>
    <row r="273" spans="1:2" ht="15" customHeight="1" x14ac:dyDescent="0.25">
      <c r="A273" s="27" t="s">
        <v>419</v>
      </c>
      <c r="B273" s="26" t="str">
        <f>IFERROR(INDEX('Identity (30)'!$O$6:$O$46,MATCH('Applicant (20)'!$A25&amp;"-"&amp;2,'Identity (30)'!$N$6:$N$46,0)),"")</f>
        <v/>
      </c>
    </row>
    <row r="274" spans="1:2" ht="15" customHeight="1" x14ac:dyDescent="0.25">
      <c r="A274" s="27" t="s">
        <v>420</v>
      </c>
      <c r="B274" s="26" t="str">
        <f>IFERROR(INDEX('Identity (30)'!$O$6:$O$46,MATCH('Applicant (20)'!$A25&amp;"-"&amp;3,'Identity (30)'!$N$6:$N$46,0)),"")</f>
        <v/>
      </c>
    </row>
    <row r="275" spans="1:2" ht="15" customHeight="1" x14ac:dyDescent="0.25">
      <c r="A275" s="27" t="s">
        <v>421</v>
      </c>
      <c r="B275" s="26" t="str">
        <f>IFERROR(INDEX('Identity (30)'!$O$6:$O$46,MATCH('Applicant (20)'!$A25&amp;"-"&amp;4,'Identity (30)'!$N$6:$N$46,0)),"")</f>
        <v/>
      </c>
    </row>
    <row r="276" spans="1:2" ht="15" customHeight="1" x14ac:dyDescent="0.25">
      <c r="A276" s="27" t="s">
        <v>422</v>
      </c>
      <c r="B276" s="26" t="str">
        <f>IFERROR(INDEX('Related Person (40)'!$CO$6:$CO$26,MATCH('Applicant (20)'!$A25&amp;"-"&amp;1,'Related Person (40)'!$CN$6:$CN$26,0)),"")</f>
        <v/>
      </c>
    </row>
    <row r="277" spans="1:2" ht="15" customHeight="1" x14ac:dyDescent="0.25">
      <c r="A277" s="27" t="s">
        <v>423</v>
      </c>
      <c r="B277" s="26" t="str">
        <f>IFERROR(INDEX('Related Person (40)'!$CO$6:$CO$26,MATCH('Applicant (20)'!$A25&amp;"-"&amp;2,'Related Person (40)'!$CN$6:$CN$26,0)),"")</f>
        <v/>
      </c>
    </row>
    <row r="278" spans="1:2" ht="15" customHeight="1" x14ac:dyDescent="0.25">
      <c r="A278" s="27" t="s">
        <v>424</v>
      </c>
      <c r="B278" s="26" t="str">
        <f>IFERROR(INDEX('Related Person (40)'!$CO$6:$CO$26,MATCH('Applicant (20)'!$A25&amp;"-"&amp;3,'Related Person (40)'!$CN$6:$CN$26,0)),"")</f>
        <v/>
      </c>
    </row>
    <row r="279" spans="1:2" ht="15" customHeight="1" x14ac:dyDescent="0.25">
      <c r="A279" s="27" t="s">
        <v>425</v>
      </c>
      <c r="B279" s="26" t="str">
        <f>IFERROR(INDEX('Images (70)'!$L$6:$L$66,MATCH('Applicant (20)'!$A25&amp;"-"&amp;1,'Images (70)'!$K$6:$K$66,0)),"")</f>
        <v/>
      </c>
    </row>
    <row r="280" spans="1:2" ht="15" customHeight="1" x14ac:dyDescent="0.25">
      <c r="A280" s="27" t="s">
        <v>426</v>
      </c>
      <c r="B280" s="26" t="str">
        <f>IFERROR(INDEX('Images (70)'!$L$6:$L$66,MATCH('Applicant (20)'!$A25&amp;"-"&amp;2,'Images (70)'!$K$6:$K$66,0)),"")</f>
        <v/>
      </c>
    </row>
    <row r="281" spans="1:2" ht="15" customHeight="1" x14ac:dyDescent="0.25">
      <c r="A281" s="27" t="s">
        <v>427</v>
      </c>
      <c r="B281" s="26" t="str">
        <f>IFERROR(INDEX('Images (70)'!$L$6:$L$66,MATCH('Applicant (20)'!$A25&amp;"-"&amp;3,'Images (70)'!$K$6:$K$66,0)),"")</f>
        <v/>
      </c>
    </row>
    <row r="282" spans="1:2" ht="15" customHeight="1" x14ac:dyDescent="0.25">
      <c r="A282" s="27" t="s">
        <v>428</v>
      </c>
      <c r="B282" s="26" t="str">
        <f>IFERROR(INDEX('Images (70)'!$L$6:$L$66,MATCH('Applicant (20)'!$A25&amp;"-"&amp;4,'Images (70)'!$K$6:$K$66,0)),"")</f>
        <v/>
      </c>
    </row>
    <row r="283" spans="1:2" ht="15" customHeight="1" x14ac:dyDescent="0.25">
      <c r="A283" s="27" t="s">
        <v>429</v>
      </c>
      <c r="B283" s="26" t="str">
        <f>IFERROR(INDEX('Images (70)'!$L$6:$L$66,MATCH('Applicant (20)'!$A25&amp;"-"&amp;5,'Images (70)'!$K$6:$K$66,0)),"")</f>
        <v/>
      </c>
    </row>
    <row r="284" spans="1:2" ht="15" customHeight="1" x14ac:dyDescent="0.25">
      <c r="A284" s="27" t="s">
        <v>430</v>
      </c>
      <c r="B284" s="26" t="str">
        <f>IFERROR(INDEX('Images (70)'!$L$6:$L$66,MATCH('Applicant (20)'!$A25&amp;"-"&amp;6,'Images (70)'!$K$6:$K$66,0)),"")</f>
        <v/>
      </c>
    </row>
    <row r="285" spans="1:2" ht="15" customHeight="1" x14ac:dyDescent="0.25">
      <c r="A285" s="25" t="s">
        <v>450</v>
      </c>
      <c r="B285" s="26" t="str">
        <f>'Applicant (20)'!DS26</f>
        <v/>
      </c>
    </row>
    <row r="286" spans="1:2" ht="15" customHeight="1" x14ac:dyDescent="0.25">
      <c r="A286" s="27" t="s">
        <v>418</v>
      </c>
      <c r="B286" s="26" t="str">
        <f>IFERROR(INDEX('Identity (30)'!$O$6:$O$46,MATCH('Applicant (20)'!$A26&amp;"-"&amp;1,'Identity (30)'!$N$6:$N$46,0)),"")</f>
        <v/>
      </c>
    </row>
    <row r="287" spans="1:2" ht="15" customHeight="1" x14ac:dyDescent="0.25">
      <c r="A287" s="27" t="s">
        <v>419</v>
      </c>
      <c r="B287" s="26" t="str">
        <f>IFERROR(INDEX('Identity (30)'!$O$6:$O$46,MATCH('Applicant (20)'!$A26&amp;"-"&amp;2,'Identity (30)'!$N$6:$N$46,0)),"")</f>
        <v/>
      </c>
    </row>
    <row r="288" spans="1:2" ht="15" customHeight="1" x14ac:dyDescent="0.25">
      <c r="A288" s="27" t="s">
        <v>420</v>
      </c>
      <c r="B288" s="26" t="str">
        <f>IFERROR(INDEX('Identity (30)'!$O$6:$O$46,MATCH('Applicant (20)'!$A26&amp;"-"&amp;3,'Identity (30)'!$N$6:$N$46,0)),"")</f>
        <v/>
      </c>
    </row>
    <row r="289" spans="1:2" ht="15" customHeight="1" x14ac:dyDescent="0.25">
      <c r="A289" s="27" t="s">
        <v>421</v>
      </c>
      <c r="B289" s="26" t="str">
        <f>IFERROR(INDEX('Identity (30)'!$O$6:$O$46,MATCH('Applicant (20)'!$A26&amp;"-"&amp;4,'Identity (30)'!$N$6:$N$46,0)),"")</f>
        <v/>
      </c>
    </row>
    <row r="290" spans="1:2" ht="15" customHeight="1" x14ac:dyDescent="0.25">
      <c r="A290" s="27" t="s">
        <v>422</v>
      </c>
      <c r="B290" s="26" t="str">
        <f>IFERROR(INDEX('Related Person (40)'!$CO$6:$CO$26,MATCH('Applicant (20)'!$A26&amp;"-"&amp;1,'Related Person (40)'!$CN$6:$CN$26,0)),"")</f>
        <v/>
      </c>
    </row>
    <row r="291" spans="1:2" ht="15" customHeight="1" x14ac:dyDescent="0.25">
      <c r="A291" s="27" t="s">
        <v>423</v>
      </c>
      <c r="B291" s="26" t="str">
        <f>IFERROR(INDEX('Related Person (40)'!$CO$6:$CO$26,MATCH('Applicant (20)'!$A26&amp;"-"&amp;2,'Related Person (40)'!$CN$6:$CN$26,0)),"")</f>
        <v/>
      </c>
    </row>
    <row r="292" spans="1:2" ht="15" customHeight="1" x14ac:dyDescent="0.25">
      <c r="A292" s="27" t="s">
        <v>424</v>
      </c>
      <c r="B292" s="26" t="str">
        <f>IFERROR(INDEX('Related Person (40)'!$CO$6:$CO$26,MATCH('Applicant (20)'!$A26&amp;"-"&amp;3,'Related Person (40)'!$CN$6:$CN$26,0)),"")</f>
        <v/>
      </c>
    </row>
    <row r="293" spans="1:2" ht="15" customHeight="1" x14ac:dyDescent="0.25">
      <c r="A293" s="27" t="s">
        <v>425</v>
      </c>
      <c r="B293" s="26" t="str">
        <f>IFERROR(INDEX('Images (70)'!$L$6:$L$66,MATCH('Applicant (20)'!$A26&amp;"-"&amp;1,'Images (70)'!$K$6:$K$66,0)),"")</f>
        <v/>
      </c>
    </row>
    <row r="294" spans="1:2" ht="15" customHeight="1" x14ac:dyDescent="0.25">
      <c r="A294" s="27" t="s">
        <v>426</v>
      </c>
      <c r="B294" s="26" t="str">
        <f>IFERROR(INDEX('Images (70)'!$L$6:$L$66,MATCH('Applicant (20)'!$A26&amp;"-"&amp;2,'Images (70)'!$K$6:$K$66,0)),"")</f>
        <v/>
      </c>
    </row>
    <row r="295" spans="1:2" ht="15" customHeight="1" x14ac:dyDescent="0.25">
      <c r="A295" s="27" t="s">
        <v>427</v>
      </c>
      <c r="B295" s="26" t="str">
        <f>IFERROR(INDEX('Images (70)'!$L$6:$L$66,MATCH('Applicant (20)'!$A26&amp;"-"&amp;3,'Images (70)'!$K$6:$K$66,0)),"")</f>
        <v/>
      </c>
    </row>
    <row r="296" spans="1:2" ht="15" customHeight="1" x14ac:dyDescent="0.25">
      <c r="A296" s="27" t="s">
        <v>428</v>
      </c>
      <c r="B296" s="26" t="str">
        <f>IFERROR(INDEX('Images (70)'!$L$6:$L$66,MATCH('Applicant (20)'!$A26&amp;"-"&amp;4,'Images (70)'!$K$6:$K$66,0)),"")</f>
        <v/>
      </c>
    </row>
    <row r="297" spans="1:2" ht="15" customHeight="1" x14ac:dyDescent="0.25">
      <c r="A297" s="27" t="s">
        <v>429</v>
      </c>
      <c r="B297" s="26" t="str">
        <f>IFERROR(INDEX('Images (70)'!$L$6:$L$66,MATCH('Applicant (20)'!$A26&amp;"-"&amp;5,'Images (70)'!$K$6:$K$66,0)),"")</f>
        <v/>
      </c>
    </row>
    <row r="298" spans="1:2" ht="15" customHeight="1" x14ac:dyDescent="0.25">
      <c r="A298" s="27" t="s">
        <v>430</v>
      </c>
      <c r="B298" s="26" t="str">
        <f>IFERROR(INDEX('Images (70)'!$L$6:$L$66,MATCH('Applicant (20)'!$A26&amp;"-"&amp;6,'Images (70)'!$K$6:$K$66,0)),"")</f>
        <v/>
      </c>
    </row>
    <row r="299" spans="1:2" ht="15" customHeight="1" x14ac:dyDescent="0.25">
      <c r="A299" s="25" t="s">
        <v>451</v>
      </c>
      <c r="B299" s="26" t="str">
        <f>'Applicant (20)'!DS27</f>
        <v/>
      </c>
    </row>
    <row r="300" spans="1:2" ht="15" customHeight="1" x14ac:dyDescent="0.25">
      <c r="A300" s="27" t="s">
        <v>418</v>
      </c>
      <c r="B300" s="26" t="str">
        <f>IFERROR(INDEX('Identity (30)'!$O$6:$O$46,MATCH('Applicant (20)'!$A27&amp;"-"&amp;1,'Identity (30)'!$N$6:$N$46,0)),"")</f>
        <v/>
      </c>
    </row>
    <row r="301" spans="1:2" ht="15" customHeight="1" x14ac:dyDescent="0.25">
      <c r="A301" s="27" t="s">
        <v>419</v>
      </c>
      <c r="B301" s="26" t="str">
        <f>IFERROR(INDEX('Identity (30)'!$O$6:$O$46,MATCH('Applicant (20)'!$A27&amp;"-"&amp;2,'Identity (30)'!$N$6:$N$46,0)),"")</f>
        <v/>
      </c>
    </row>
    <row r="302" spans="1:2" ht="15" customHeight="1" x14ac:dyDescent="0.25">
      <c r="A302" s="27" t="s">
        <v>420</v>
      </c>
      <c r="B302" s="26" t="str">
        <f>IFERROR(INDEX('Identity (30)'!$O$6:$O$46,MATCH('Applicant (20)'!$A27&amp;"-"&amp;3,'Identity (30)'!$N$6:$N$46,0)),"")</f>
        <v/>
      </c>
    </row>
    <row r="303" spans="1:2" ht="15" customHeight="1" x14ac:dyDescent="0.25">
      <c r="A303" s="27" t="s">
        <v>421</v>
      </c>
      <c r="B303" s="26" t="str">
        <f>IFERROR(INDEX('Identity (30)'!$O$6:$O$46,MATCH('Applicant (20)'!$A27&amp;"-"&amp;4,'Identity (30)'!$N$6:$N$46,0)),"")</f>
        <v/>
      </c>
    </row>
    <row r="304" spans="1:2" ht="15" customHeight="1" x14ac:dyDescent="0.25">
      <c r="A304" s="27" t="s">
        <v>422</v>
      </c>
      <c r="B304" s="26" t="str">
        <f>IFERROR(INDEX('Related Person (40)'!$CO$6:$CO$26,MATCH('Applicant (20)'!$A27&amp;"-"&amp;1,'Related Person (40)'!$CN$6:$CN$26,0)),"")</f>
        <v/>
      </c>
    </row>
    <row r="305" spans="1:2" ht="15" customHeight="1" x14ac:dyDescent="0.25">
      <c r="A305" s="27" t="s">
        <v>423</v>
      </c>
      <c r="B305" s="26" t="str">
        <f>IFERROR(INDEX('Related Person (40)'!$CO$6:$CO$26,MATCH('Applicant (20)'!$A27&amp;"-"&amp;2,'Related Person (40)'!$CN$6:$CN$26,0)),"")</f>
        <v/>
      </c>
    </row>
    <row r="306" spans="1:2" ht="15" customHeight="1" x14ac:dyDescent="0.25">
      <c r="A306" s="27" t="s">
        <v>424</v>
      </c>
      <c r="B306" s="26" t="str">
        <f>IFERROR(INDEX('Related Person (40)'!$CO$6:$CO$26,MATCH('Applicant (20)'!$A27&amp;"-"&amp;3,'Related Person (40)'!$CN$6:$CN$26,0)),"")</f>
        <v/>
      </c>
    </row>
    <row r="307" spans="1:2" ht="15" customHeight="1" x14ac:dyDescent="0.25">
      <c r="A307" s="27" t="s">
        <v>425</v>
      </c>
      <c r="B307" s="26" t="str">
        <f>IFERROR(INDEX('Images (70)'!$L$6:$L$66,MATCH('Applicant (20)'!$A27&amp;"-"&amp;1,'Images (70)'!$K$6:$K$66,0)),"")</f>
        <v/>
      </c>
    </row>
    <row r="308" spans="1:2" ht="15" customHeight="1" x14ac:dyDescent="0.25">
      <c r="A308" s="27" t="s">
        <v>426</v>
      </c>
      <c r="B308" s="26" t="str">
        <f>IFERROR(INDEX('Images (70)'!$L$6:$L$66,MATCH('Applicant (20)'!$A27&amp;"-"&amp;2,'Images (70)'!$K$6:$K$66,0)),"")</f>
        <v/>
      </c>
    </row>
    <row r="309" spans="1:2" ht="15" customHeight="1" x14ac:dyDescent="0.25">
      <c r="A309" s="27" t="s">
        <v>427</v>
      </c>
      <c r="B309" s="26" t="str">
        <f>IFERROR(INDEX('Images (70)'!$L$6:$L$66,MATCH('Applicant (20)'!$A27&amp;"-"&amp;3,'Images (70)'!$K$6:$K$66,0)),"")</f>
        <v/>
      </c>
    </row>
    <row r="310" spans="1:2" ht="15" customHeight="1" x14ac:dyDescent="0.25">
      <c r="A310" s="27" t="s">
        <v>428</v>
      </c>
      <c r="B310" s="26" t="str">
        <f>IFERROR(INDEX('Images (70)'!$L$6:$L$66,MATCH('Applicant (20)'!$A27&amp;"-"&amp;4,'Images (70)'!$K$6:$K$66,0)),"")</f>
        <v/>
      </c>
    </row>
    <row r="311" spans="1:2" ht="15" customHeight="1" x14ac:dyDescent="0.25">
      <c r="A311" s="27" t="s">
        <v>429</v>
      </c>
      <c r="B311" s="26" t="str">
        <f>IFERROR(INDEX('Images (70)'!$L$6:$L$66,MATCH('Applicant (20)'!$A27&amp;"-"&amp;5,'Images (70)'!$K$6:$K$66,0)),"")</f>
        <v/>
      </c>
    </row>
    <row r="312" spans="1:2" ht="15" customHeight="1" x14ac:dyDescent="0.25">
      <c r="A312" s="27" t="s">
        <v>430</v>
      </c>
      <c r="B312" s="26" t="str">
        <f>IFERROR(INDEX('Images (70)'!$L$6:$L$66,MATCH('Applicant (20)'!$A27&amp;"-"&amp;6,'Images (70)'!$K$6:$K$66,0)),"")</f>
        <v/>
      </c>
    </row>
    <row r="313" spans="1:2" ht="15" customHeight="1" x14ac:dyDescent="0.25">
      <c r="A313" s="25" t="s">
        <v>452</v>
      </c>
      <c r="B313" s="26" t="str">
        <f>'Applicant (20)'!DS28</f>
        <v/>
      </c>
    </row>
    <row r="314" spans="1:2" ht="15" customHeight="1" x14ac:dyDescent="0.25">
      <c r="A314" s="27" t="s">
        <v>418</v>
      </c>
      <c r="B314" s="26" t="str">
        <f>IFERROR(INDEX('Identity (30)'!$O$6:$O$46,MATCH('Applicant (20)'!$A28&amp;"-"&amp;1,'Identity (30)'!$N$6:$N$46,0)),"")</f>
        <v/>
      </c>
    </row>
    <row r="315" spans="1:2" ht="15" customHeight="1" x14ac:dyDescent="0.25">
      <c r="A315" s="27" t="s">
        <v>419</v>
      </c>
      <c r="B315" s="26" t="str">
        <f>IFERROR(INDEX('Identity (30)'!$O$6:$O$46,MATCH('Applicant (20)'!$A28&amp;"-"&amp;2,'Identity (30)'!$N$6:$N$46,0)),"")</f>
        <v/>
      </c>
    </row>
    <row r="316" spans="1:2" ht="15" customHeight="1" x14ac:dyDescent="0.25">
      <c r="A316" s="27" t="s">
        <v>420</v>
      </c>
      <c r="B316" s="26" t="str">
        <f>IFERROR(INDEX('Identity (30)'!$O$6:$O$46,MATCH('Applicant (20)'!$A28&amp;"-"&amp;3,'Identity (30)'!$N$6:$N$46,0)),"")</f>
        <v/>
      </c>
    </row>
    <row r="317" spans="1:2" ht="15" customHeight="1" x14ac:dyDescent="0.25">
      <c r="A317" s="27" t="s">
        <v>421</v>
      </c>
      <c r="B317" s="26" t="str">
        <f>IFERROR(INDEX('Identity (30)'!$O$6:$O$46,MATCH('Applicant (20)'!$A28&amp;"-"&amp;4,'Identity (30)'!$N$6:$N$46,0)),"")</f>
        <v/>
      </c>
    </row>
    <row r="318" spans="1:2" ht="15" customHeight="1" x14ac:dyDescent="0.25">
      <c r="A318" s="27" t="s">
        <v>422</v>
      </c>
      <c r="B318" s="26" t="str">
        <f>IFERROR(INDEX('Related Person (40)'!$CO$6:$CO$26,MATCH('Applicant (20)'!$A28&amp;"-"&amp;1,'Related Person (40)'!$CN$6:$CN$26,0)),"")</f>
        <v/>
      </c>
    </row>
    <row r="319" spans="1:2" ht="15" customHeight="1" x14ac:dyDescent="0.25">
      <c r="A319" s="27" t="s">
        <v>423</v>
      </c>
      <c r="B319" s="26" t="str">
        <f>IFERROR(INDEX('Related Person (40)'!$CO$6:$CO$26,MATCH('Applicant (20)'!$A28&amp;"-"&amp;2,'Related Person (40)'!$CN$6:$CN$26,0)),"")</f>
        <v/>
      </c>
    </row>
    <row r="320" spans="1:2" ht="15" customHeight="1" x14ac:dyDescent="0.25">
      <c r="A320" s="27" t="s">
        <v>424</v>
      </c>
      <c r="B320" s="26" t="str">
        <f>IFERROR(INDEX('Related Person (40)'!$CO$6:$CO$26,MATCH('Applicant (20)'!$A28&amp;"-"&amp;3,'Related Person (40)'!$CN$6:$CN$26,0)),"")</f>
        <v/>
      </c>
    </row>
    <row r="321" spans="1:2" ht="15" customHeight="1" x14ac:dyDescent="0.25">
      <c r="A321" s="27" t="s">
        <v>425</v>
      </c>
      <c r="B321" s="26" t="str">
        <f>IFERROR(INDEX('Images (70)'!$L$6:$L$66,MATCH('Applicant (20)'!$A28&amp;"-"&amp;1,'Images (70)'!$K$6:$K$66,0)),"")</f>
        <v/>
      </c>
    </row>
    <row r="322" spans="1:2" ht="15" customHeight="1" x14ac:dyDescent="0.25">
      <c r="A322" s="27" t="s">
        <v>426</v>
      </c>
      <c r="B322" s="26" t="str">
        <f>IFERROR(INDEX('Images (70)'!$L$6:$L$66,MATCH('Applicant (20)'!$A28&amp;"-"&amp;2,'Images (70)'!$K$6:$K$66,0)),"")</f>
        <v/>
      </c>
    </row>
    <row r="323" spans="1:2" ht="15" customHeight="1" x14ac:dyDescent="0.25">
      <c r="A323" s="27" t="s">
        <v>427</v>
      </c>
      <c r="B323" s="26" t="str">
        <f>IFERROR(INDEX('Images (70)'!$L$6:$L$66,MATCH('Applicant (20)'!$A28&amp;"-"&amp;3,'Images (70)'!$K$6:$K$66,0)),"")</f>
        <v/>
      </c>
    </row>
    <row r="324" spans="1:2" ht="15" customHeight="1" x14ac:dyDescent="0.25">
      <c r="A324" s="27" t="s">
        <v>428</v>
      </c>
      <c r="B324" s="26" t="str">
        <f>IFERROR(INDEX('Images (70)'!$L$6:$L$66,MATCH('Applicant (20)'!$A28&amp;"-"&amp;4,'Images (70)'!$K$6:$K$66,0)),"")</f>
        <v/>
      </c>
    </row>
    <row r="325" spans="1:2" ht="15" customHeight="1" x14ac:dyDescent="0.25">
      <c r="A325" s="27" t="s">
        <v>429</v>
      </c>
      <c r="B325" s="26" t="str">
        <f>IFERROR(INDEX('Images (70)'!$L$6:$L$66,MATCH('Applicant (20)'!$A28&amp;"-"&amp;5,'Images (70)'!$K$6:$K$66,0)),"")</f>
        <v/>
      </c>
    </row>
    <row r="326" spans="1:2" ht="15" customHeight="1" x14ac:dyDescent="0.25">
      <c r="A326" s="27" t="s">
        <v>430</v>
      </c>
      <c r="B326" s="26" t="str">
        <f>IFERROR(INDEX('Images (70)'!$L$6:$L$66,MATCH('Applicant (20)'!$A28&amp;"-"&amp;6,'Images (70)'!$K$6:$K$66,0)),"")</f>
        <v/>
      </c>
    </row>
    <row r="327" spans="1:2" ht="15" customHeight="1" x14ac:dyDescent="0.25">
      <c r="A327" s="25" t="s">
        <v>453</v>
      </c>
      <c r="B327" s="26" t="str">
        <f>'Applicant (20)'!DS29</f>
        <v/>
      </c>
    </row>
    <row r="328" spans="1:2" ht="15" customHeight="1" x14ac:dyDescent="0.25">
      <c r="A328" s="27" t="s">
        <v>418</v>
      </c>
      <c r="B328" s="26" t="str">
        <f>IFERROR(INDEX('Identity (30)'!$O$6:$O$46,MATCH('Applicant (20)'!$A29&amp;"-"&amp;1,'Identity (30)'!$N$6:$N$46,0)),"")</f>
        <v/>
      </c>
    </row>
    <row r="329" spans="1:2" ht="15" customHeight="1" x14ac:dyDescent="0.25">
      <c r="A329" s="27" t="s">
        <v>419</v>
      </c>
      <c r="B329" s="26" t="str">
        <f>IFERROR(INDEX('Identity (30)'!$O$6:$O$46,MATCH('Applicant (20)'!$A29&amp;"-"&amp;2,'Identity (30)'!$N$6:$N$46,0)),"")</f>
        <v/>
      </c>
    </row>
    <row r="330" spans="1:2" ht="15" customHeight="1" x14ac:dyDescent="0.25">
      <c r="A330" s="27" t="s">
        <v>420</v>
      </c>
      <c r="B330" s="26" t="str">
        <f>IFERROR(INDEX('Identity (30)'!$O$6:$O$46,MATCH('Applicant (20)'!$A29&amp;"-"&amp;3,'Identity (30)'!$N$6:$N$46,0)),"")</f>
        <v/>
      </c>
    </row>
    <row r="331" spans="1:2" ht="15" customHeight="1" x14ac:dyDescent="0.25">
      <c r="A331" s="27" t="s">
        <v>421</v>
      </c>
      <c r="B331" s="26" t="str">
        <f>IFERROR(INDEX('Identity (30)'!$O$6:$O$46,MATCH('Applicant (20)'!$A29&amp;"-"&amp;4,'Identity (30)'!$N$6:$N$46,0)),"")</f>
        <v/>
      </c>
    </row>
    <row r="332" spans="1:2" ht="15" customHeight="1" x14ac:dyDescent="0.25">
      <c r="A332" s="27" t="s">
        <v>422</v>
      </c>
      <c r="B332" s="26" t="str">
        <f>IFERROR(INDEX('Related Person (40)'!$CO$6:$CO$26,MATCH('Applicant (20)'!$A29&amp;"-"&amp;1,'Related Person (40)'!$CN$6:$CN$26,0)),"")</f>
        <v/>
      </c>
    </row>
    <row r="333" spans="1:2" ht="15" customHeight="1" x14ac:dyDescent="0.25">
      <c r="A333" s="27" t="s">
        <v>423</v>
      </c>
      <c r="B333" s="26" t="str">
        <f>IFERROR(INDEX('Related Person (40)'!$CO$6:$CO$26,MATCH('Applicant (20)'!$A29&amp;"-"&amp;2,'Related Person (40)'!$CN$6:$CN$26,0)),"")</f>
        <v/>
      </c>
    </row>
    <row r="334" spans="1:2" ht="15" customHeight="1" x14ac:dyDescent="0.25">
      <c r="A334" s="27" t="s">
        <v>424</v>
      </c>
      <c r="B334" s="26" t="str">
        <f>IFERROR(INDEX('Related Person (40)'!$CO$6:$CO$26,MATCH('Applicant (20)'!$A29&amp;"-"&amp;3,'Related Person (40)'!$CN$6:$CN$26,0)),"")</f>
        <v/>
      </c>
    </row>
    <row r="335" spans="1:2" ht="15" customHeight="1" x14ac:dyDescent="0.25">
      <c r="A335" s="27" t="s">
        <v>425</v>
      </c>
      <c r="B335" s="26" t="str">
        <f>IFERROR(INDEX('Images (70)'!$L$6:$L$66,MATCH('Applicant (20)'!$A29&amp;"-"&amp;1,'Images (70)'!$K$6:$K$66,0)),"")</f>
        <v/>
      </c>
    </row>
    <row r="336" spans="1:2" ht="15" customHeight="1" x14ac:dyDescent="0.25">
      <c r="A336" s="27" t="s">
        <v>426</v>
      </c>
      <c r="B336" s="26" t="str">
        <f>IFERROR(INDEX('Images (70)'!$L$6:$L$66,MATCH('Applicant (20)'!$A29&amp;"-"&amp;2,'Images (70)'!$K$6:$K$66,0)),"")</f>
        <v/>
      </c>
    </row>
    <row r="337" spans="1:2" ht="15" customHeight="1" x14ac:dyDescent="0.25">
      <c r="A337" s="27" t="s">
        <v>427</v>
      </c>
      <c r="B337" s="26" t="str">
        <f>IFERROR(INDEX('Images (70)'!$L$6:$L$66,MATCH('Applicant (20)'!$A29&amp;"-"&amp;3,'Images (70)'!$K$6:$K$66,0)),"")</f>
        <v/>
      </c>
    </row>
    <row r="338" spans="1:2" ht="15" customHeight="1" x14ac:dyDescent="0.25">
      <c r="A338" s="27" t="s">
        <v>428</v>
      </c>
      <c r="B338" s="26" t="str">
        <f>IFERROR(INDEX('Images (70)'!$L$6:$L$66,MATCH('Applicant (20)'!$A29&amp;"-"&amp;4,'Images (70)'!$K$6:$K$66,0)),"")</f>
        <v/>
      </c>
    </row>
    <row r="339" spans="1:2" ht="15" customHeight="1" x14ac:dyDescent="0.25">
      <c r="A339" s="27" t="s">
        <v>429</v>
      </c>
      <c r="B339" s="26" t="str">
        <f>IFERROR(INDEX('Images (70)'!$L$6:$L$66,MATCH('Applicant (20)'!$A29&amp;"-"&amp;5,'Images (70)'!$K$6:$K$66,0)),"")</f>
        <v/>
      </c>
    </row>
    <row r="340" spans="1:2" ht="15" customHeight="1" x14ac:dyDescent="0.25">
      <c r="A340" s="27" t="s">
        <v>430</v>
      </c>
      <c r="B340" s="26" t="str">
        <f>IFERROR(INDEX('Images (70)'!$L$6:$L$66,MATCH('Applicant (20)'!$A29&amp;"-"&amp;6,'Images (70)'!$K$6:$K$66,0)),"")</f>
        <v/>
      </c>
    </row>
    <row r="341" spans="1:2" ht="15" customHeight="1" x14ac:dyDescent="0.25">
      <c r="A341" s="25" t="s">
        <v>454</v>
      </c>
      <c r="B341" s="26" t="str">
        <f>'Applicant (20)'!DS30</f>
        <v/>
      </c>
    </row>
    <row r="342" spans="1:2" ht="15" customHeight="1" x14ac:dyDescent="0.25">
      <c r="A342" s="27" t="s">
        <v>418</v>
      </c>
      <c r="B342" s="26" t="str">
        <f>IFERROR(INDEX('Identity (30)'!$O$6:$O$46,MATCH('Applicant (20)'!$A30&amp;"-"&amp;1,'Identity (30)'!$N$6:$N$46,0)),"")</f>
        <v/>
      </c>
    </row>
    <row r="343" spans="1:2" ht="15" customHeight="1" x14ac:dyDescent="0.25">
      <c r="A343" s="27" t="s">
        <v>419</v>
      </c>
      <c r="B343" s="26" t="str">
        <f>IFERROR(INDEX('Identity (30)'!$O$6:$O$46,MATCH('Applicant (20)'!$A30&amp;"-"&amp;2,'Identity (30)'!$N$6:$N$46,0)),"")</f>
        <v/>
      </c>
    </row>
    <row r="344" spans="1:2" ht="15" customHeight="1" x14ac:dyDescent="0.25">
      <c r="A344" s="27" t="s">
        <v>420</v>
      </c>
      <c r="B344" s="26" t="str">
        <f>IFERROR(INDEX('Identity (30)'!$O$6:$O$46,MATCH('Applicant (20)'!$A30&amp;"-"&amp;3,'Identity (30)'!$N$6:$N$46,0)),"")</f>
        <v/>
      </c>
    </row>
    <row r="345" spans="1:2" ht="15" customHeight="1" x14ac:dyDescent="0.25">
      <c r="A345" s="27" t="s">
        <v>421</v>
      </c>
      <c r="B345" s="26" t="str">
        <f>IFERROR(INDEX('Identity (30)'!$O$6:$O$46,MATCH('Applicant (20)'!$A30&amp;"-"&amp;4,'Identity (30)'!$N$6:$N$46,0)),"")</f>
        <v/>
      </c>
    </row>
    <row r="346" spans="1:2" ht="15" customHeight="1" x14ac:dyDescent="0.25">
      <c r="A346" s="27" t="s">
        <v>422</v>
      </c>
      <c r="B346" s="26" t="str">
        <f>IFERROR(INDEX('Related Person (40)'!$CO$6:$CO$26,MATCH('Applicant (20)'!$A30&amp;"-"&amp;1,'Related Person (40)'!$CN$6:$CN$26,0)),"")</f>
        <v/>
      </c>
    </row>
    <row r="347" spans="1:2" ht="15" customHeight="1" x14ac:dyDescent="0.25">
      <c r="A347" s="27" t="s">
        <v>423</v>
      </c>
      <c r="B347" s="26" t="str">
        <f>IFERROR(INDEX('Related Person (40)'!$CO$6:$CO$26,MATCH('Applicant (20)'!$A30&amp;"-"&amp;2,'Related Person (40)'!$CN$6:$CN$26,0)),"")</f>
        <v/>
      </c>
    </row>
    <row r="348" spans="1:2" ht="15" customHeight="1" x14ac:dyDescent="0.25">
      <c r="A348" s="27" t="s">
        <v>424</v>
      </c>
      <c r="B348" s="26" t="str">
        <f>IFERROR(INDEX('Related Person (40)'!$CO$6:$CO$26,MATCH('Applicant (20)'!$A30&amp;"-"&amp;3,'Related Person (40)'!$CN$6:$CN$26,0)),"")</f>
        <v/>
      </c>
    </row>
    <row r="349" spans="1:2" ht="15" customHeight="1" x14ac:dyDescent="0.25">
      <c r="A349" s="27" t="s">
        <v>425</v>
      </c>
      <c r="B349" s="26" t="str">
        <f>IFERROR(INDEX('Images (70)'!$L$6:$L$66,MATCH('Applicant (20)'!$A30&amp;"-"&amp;1,'Images (70)'!$K$6:$K$66,0)),"")</f>
        <v/>
      </c>
    </row>
    <row r="350" spans="1:2" ht="15" customHeight="1" x14ac:dyDescent="0.25">
      <c r="A350" s="27" t="s">
        <v>426</v>
      </c>
      <c r="B350" s="26" t="str">
        <f>IFERROR(INDEX('Images (70)'!$L$6:$L$66,MATCH('Applicant (20)'!$A30&amp;"-"&amp;2,'Images (70)'!$K$6:$K$66,0)),"")</f>
        <v/>
      </c>
    </row>
    <row r="351" spans="1:2" ht="15" customHeight="1" x14ac:dyDescent="0.25">
      <c r="A351" s="27" t="s">
        <v>427</v>
      </c>
      <c r="B351" s="26" t="str">
        <f>IFERROR(INDEX('Images (70)'!$L$6:$L$66,MATCH('Applicant (20)'!$A30&amp;"-"&amp;3,'Images (70)'!$K$6:$K$66,0)),"")</f>
        <v/>
      </c>
    </row>
    <row r="352" spans="1:2" ht="15" customHeight="1" x14ac:dyDescent="0.25">
      <c r="A352" s="27" t="s">
        <v>428</v>
      </c>
      <c r="B352" s="26" t="str">
        <f>IFERROR(INDEX('Images (70)'!$L$6:$L$66,MATCH('Applicant (20)'!$A30&amp;"-"&amp;4,'Images (70)'!$K$6:$K$66,0)),"")</f>
        <v/>
      </c>
    </row>
    <row r="353" spans="1:2" ht="15" customHeight="1" x14ac:dyDescent="0.25">
      <c r="A353" s="27" t="s">
        <v>429</v>
      </c>
      <c r="B353" s="26" t="str">
        <f>IFERROR(INDEX('Images (70)'!$L$6:$L$66,MATCH('Applicant (20)'!$A30&amp;"-"&amp;5,'Images (70)'!$K$6:$K$66,0)),"")</f>
        <v/>
      </c>
    </row>
    <row r="354" spans="1:2" ht="15" customHeight="1" x14ac:dyDescent="0.25">
      <c r="A354" s="27" t="s">
        <v>430</v>
      </c>
      <c r="B354" s="26" t="str">
        <f>IFERROR(INDEX('Images (70)'!$L$6:$L$66,MATCH('Applicant (20)'!$A30&amp;"-"&amp;6,'Images (70)'!$K$6:$K$66,0)),"")</f>
        <v/>
      </c>
    </row>
    <row r="355" spans="1:2" ht="15" customHeight="1" x14ac:dyDescent="0.25">
      <c r="A355" s="25" t="s">
        <v>455</v>
      </c>
      <c r="B355" s="26" t="str">
        <f>'Applicant (20)'!DS31</f>
        <v/>
      </c>
    </row>
    <row r="356" spans="1:2" ht="15" customHeight="1" x14ac:dyDescent="0.25">
      <c r="A356" s="27" t="s">
        <v>418</v>
      </c>
      <c r="B356" s="26" t="str">
        <f>IFERROR(INDEX('Identity (30)'!$O$6:$O$46,MATCH('Applicant (20)'!$A31&amp;"-"&amp;1,'Identity (30)'!$N$6:$N$46,0)),"")</f>
        <v/>
      </c>
    </row>
    <row r="357" spans="1:2" ht="15" customHeight="1" x14ac:dyDescent="0.25">
      <c r="A357" s="27" t="s">
        <v>419</v>
      </c>
      <c r="B357" s="26" t="str">
        <f>IFERROR(INDEX('Identity (30)'!$O$6:$O$46,MATCH('Applicant (20)'!$A31&amp;"-"&amp;2,'Identity (30)'!$N$6:$N$46,0)),"")</f>
        <v/>
      </c>
    </row>
    <row r="358" spans="1:2" ht="15" customHeight="1" x14ac:dyDescent="0.25">
      <c r="A358" s="27" t="s">
        <v>420</v>
      </c>
      <c r="B358" s="26" t="str">
        <f>IFERROR(INDEX('Identity (30)'!$O$6:$O$46,MATCH('Applicant (20)'!$A31&amp;"-"&amp;3,'Identity (30)'!$N$6:$N$46,0)),"")</f>
        <v/>
      </c>
    </row>
    <row r="359" spans="1:2" ht="15" customHeight="1" x14ac:dyDescent="0.25">
      <c r="A359" s="27" t="s">
        <v>421</v>
      </c>
      <c r="B359" s="26" t="str">
        <f>IFERROR(INDEX('Identity (30)'!$O$6:$O$46,MATCH('Applicant (20)'!$A31&amp;"-"&amp;4,'Identity (30)'!$N$6:$N$46,0)),"")</f>
        <v/>
      </c>
    </row>
    <row r="360" spans="1:2" ht="15" customHeight="1" x14ac:dyDescent="0.25">
      <c r="A360" s="27" t="s">
        <v>422</v>
      </c>
      <c r="B360" s="26" t="str">
        <f>IFERROR(INDEX('Related Person (40)'!$CO$6:$CO$26,MATCH('Applicant (20)'!$A31&amp;"-"&amp;1,'Related Person (40)'!$CN$6:$CN$26,0)),"")</f>
        <v/>
      </c>
    </row>
    <row r="361" spans="1:2" ht="15" customHeight="1" x14ac:dyDescent="0.25">
      <c r="A361" s="27" t="s">
        <v>423</v>
      </c>
      <c r="B361" s="26" t="str">
        <f>IFERROR(INDEX('Related Person (40)'!$CO$6:$CO$26,MATCH('Applicant (20)'!$A31&amp;"-"&amp;2,'Related Person (40)'!$CN$6:$CN$26,0)),"")</f>
        <v/>
      </c>
    </row>
    <row r="362" spans="1:2" ht="15" customHeight="1" x14ac:dyDescent="0.25">
      <c r="A362" s="27" t="s">
        <v>424</v>
      </c>
      <c r="B362" s="26" t="str">
        <f>IFERROR(INDEX('Related Person (40)'!$CO$6:$CO$26,MATCH('Applicant (20)'!$A31&amp;"-"&amp;3,'Related Person (40)'!$CN$6:$CN$26,0)),"")</f>
        <v/>
      </c>
    </row>
    <row r="363" spans="1:2" ht="15" customHeight="1" x14ac:dyDescent="0.25">
      <c r="A363" s="27" t="s">
        <v>425</v>
      </c>
      <c r="B363" s="26" t="str">
        <f>IFERROR(INDEX('Images (70)'!$L$6:$L$66,MATCH('Applicant (20)'!$A31&amp;"-"&amp;1,'Images (70)'!$K$6:$K$66,0)),"")</f>
        <v/>
      </c>
    </row>
    <row r="364" spans="1:2" ht="15" customHeight="1" x14ac:dyDescent="0.25">
      <c r="A364" s="27" t="s">
        <v>426</v>
      </c>
      <c r="B364" s="26" t="str">
        <f>IFERROR(INDEX('Images (70)'!$L$6:$L$66,MATCH('Applicant (20)'!$A31&amp;"-"&amp;2,'Images (70)'!$K$6:$K$66,0)),"")</f>
        <v/>
      </c>
    </row>
    <row r="365" spans="1:2" ht="15" customHeight="1" x14ac:dyDescent="0.25">
      <c r="A365" s="27" t="s">
        <v>427</v>
      </c>
      <c r="B365" s="26" t="str">
        <f>IFERROR(INDEX('Images (70)'!$L$6:$L$66,MATCH('Applicant (20)'!$A31&amp;"-"&amp;3,'Images (70)'!$K$6:$K$66,0)),"")</f>
        <v/>
      </c>
    </row>
    <row r="366" spans="1:2" ht="15" customHeight="1" x14ac:dyDescent="0.25">
      <c r="A366" s="27" t="s">
        <v>428</v>
      </c>
      <c r="B366" s="26" t="str">
        <f>IFERROR(INDEX('Images (70)'!$L$6:$L$66,MATCH('Applicant (20)'!$A31&amp;"-"&amp;4,'Images (70)'!$K$6:$K$66,0)),"")</f>
        <v/>
      </c>
    </row>
    <row r="367" spans="1:2" ht="15" customHeight="1" x14ac:dyDescent="0.25">
      <c r="A367" s="27" t="s">
        <v>429</v>
      </c>
      <c r="B367" s="26" t="str">
        <f>IFERROR(INDEX('Images (70)'!$L$6:$L$66,MATCH('Applicant (20)'!$A31&amp;"-"&amp;5,'Images (70)'!$K$6:$K$66,0)),"")</f>
        <v/>
      </c>
    </row>
    <row r="368" spans="1:2" ht="15" customHeight="1" x14ac:dyDescent="0.25">
      <c r="A368" s="27" t="s">
        <v>430</v>
      </c>
      <c r="B368" s="26" t="str">
        <f>IFERROR(INDEX('Images (70)'!$L$6:$L$66,MATCH('Applicant (20)'!$A31&amp;"-"&amp;6,'Images (70)'!$K$6:$K$66,0)),"")</f>
        <v/>
      </c>
    </row>
    <row r="369" spans="1:2" ht="15" customHeight="1" x14ac:dyDescent="0.25">
      <c r="A369" s="25" t="s">
        <v>456</v>
      </c>
      <c r="B369" s="26" t="str">
        <f>'Applicant (20)'!DS32</f>
        <v/>
      </c>
    </row>
    <row r="370" spans="1:2" ht="15" customHeight="1" x14ac:dyDescent="0.25">
      <c r="A370" s="27" t="s">
        <v>418</v>
      </c>
      <c r="B370" s="26" t="str">
        <f>IFERROR(INDEX('Identity (30)'!$O$6:$O$46,MATCH('Applicant (20)'!$A32&amp;"-"&amp;1,'Identity (30)'!$N$6:$N$46,0)),"")</f>
        <v/>
      </c>
    </row>
    <row r="371" spans="1:2" ht="15" customHeight="1" x14ac:dyDescent="0.25">
      <c r="A371" s="27" t="s">
        <v>419</v>
      </c>
      <c r="B371" s="26" t="str">
        <f>IFERROR(INDEX('Identity (30)'!$O$6:$O$46,MATCH('Applicant (20)'!$A32&amp;"-"&amp;2,'Identity (30)'!$N$6:$N$46,0)),"")</f>
        <v/>
      </c>
    </row>
    <row r="372" spans="1:2" ht="15" customHeight="1" x14ac:dyDescent="0.25">
      <c r="A372" s="27" t="s">
        <v>420</v>
      </c>
      <c r="B372" s="26" t="str">
        <f>IFERROR(INDEX('Identity (30)'!$O$6:$O$46,MATCH('Applicant (20)'!$A32&amp;"-"&amp;3,'Identity (30)'!$N$6:$N$46,0)),"")</f>
        <v/>
      </c>
    </row>
    <row r="373" spans="1:2" ht="15" customHeight="1" x14ac:dyDescent="0.25">
      <c r="A373" s="27" t="s">
        <v>421</v>
      </c>
      <c r="B373" s="26" t="str">
        <f>IFERROR(INDEX('Identity (30)'!$O$6:$O$46,MATCH('Applicant (20)'!$A32&amp;"-"&amp;4,'Identity (30)'!$N$6:$N$46,0)),"")</f>
        <v/>
      </c>
    </row>
    <row r="374" spans="1:2" ht="15" customHeight="1" x14ac:dyDescent="0.25">
      <c r="A374" s="27" t="s">
        <v>422</v>
      </c>
      <c r="B374" s="26" t="str">
        <f>IFERROR(INDEX('Related Person (40)'!$CO$6:$CO$26,MATCH('Applicant (20)'!$A32&amp;"-"&amp;1,'Related Person (40)'!$CN$6:$CN$26,0)),"")</f>
        <v/>
      </c>
    </row>
    <row r="375" spans="1:2" ht="15" customHeight="1" x14ac:dyDescent="0.25">
      <c r="A375" s="27" t="s">
        <v>423</v>
      </c>
      <c r="B375" s="26" t="str">
        <f>IFERROR(INDEX('Related Person (40)'!$CO$6:$CO$26,MATCH('Applicant (20)'!$A32&amp;"-"&amp;2,'Related Person (40)'!$CN$6:$CN$26,0)),"")</f>
        <v/>
      </c>
    </row>
    <row r="376" spans="1:2" ht="15" customHeight="1" x14ac:dyDescent="0.25">
      <c r="A376" s="27" t="s">
        <v>424</v>
      </c>
      <c r="B376" s="26" t="str">
        <f>IFERROR(INDEX('Related Person (40)'!$CO$6:$CO$26,MATCH('Applicant (20)'!$A32&amp;"-"&amp;3,'Related Person (40)'!$CN$6:$CN$26,0)),"")</f>
        <v/>
      </c>
    </row>
    <row r="377" spans="1:2" ht="15" customHeight="1" x14ac:dyDescent="0.25">
      <c r="A377" s="27" t="s">
        <v>425</v>
      </c>
      <c r="B377" s="26" t="str">
        <f>IFERROR(INDEX('Images (70)'!$L$6:$L$66,MATCH('Applicant (20)'!$A32&amp;"-"&amp;1,'Images (70)'!$K$6:$K$66,0)),"")</f>
        <v/>
      </c>
    </row>
    <row r="378" spans="1:2" ht="15" customHeight="1" x14ac:dyDescent="0.25">
      <c r="A378" s="27" t="s">
        <v>426</v>
      </c>
      <c r="B378" s="26" t="str">
        <f>IFERROR(INDEX('Images (70)'!$L$6:$L$66,MATCH('Applicant (20)'!$A32&amp;"-"&amp;2,'Images (70)'!$K$6:$K$66,0)),"")</f>
        <v/>
      </c>
    </row>
    <row r="379" spans="1:2" ht="15" customHeight="1" x14ac:dyDescent="0.25">
      <c r="A379" s="27" t="s">
        <v>427</v>
      </c>
      <c r="B379" s="26" t="str">
        <f>IFERROR(INDEX('Images (70)'!$L$6:$L$66,MATCH('Applicant (20)'!$A32&amp;"-"&amp;3,'Images (70)'!$K$6:$K$66,0)),"")</f>
        <v/>
      </c>
    </row>
    <row r="380" spans="1:2" ht="15" customHeight="1" x14ac:dyDescent="0.25">
      <c r="A380" s="27" t="s">
        <v>428</v>
      </c>
      <c r="B380" s="26" t="str">
        <f>IFERROR(INDEX('Images (70)'!$L$6:$L$66,MATCH('Applicant (20)'!$A32&amp;"-"&amp;4,'Images (70)'!$K$6:$K$66,0)),"")</f>
        <v/>
      </c>
    </row>
    <row r="381" spans="1:2" ht="15" customHeight="1" x14ac:dyDescent="0.25">
      <c r="A381" s="27" t="s">
        <v>429</v>
      </c>
      <c r="B381" s="26" t="str">
        <f>IFERROR(INDEX('Images (70)'!$L$6:$L$66,MATCH('Applicant (20)'!$A32&amp;"-"&amp;5,'Images (70)'!$K$6:$K$66,0)),"")</f>
        <v/>
      </c>
    </row>
    <row r="382" spans="1:2" ht="15" customHeight="1" x14ac:dyDescent="0.25">
      <c r="A382" s="27" t="s">
        <v>430</v>
      </c>
      <c r="B382" s="26" t="str">
        <f>IFERROR(INDEX('Images (70)'!$L$6:$L$66,MATCH('Applicant (20)'!$A32&amp;"-"&amp;6,'Images (70)'!$K$6:$K$66,0)),"")</f>
        <v/>
      </c>
    </row>
    <row r="383" spans="1:2" ht="15" customHeight="1" x14ac:dyDescent="0.25">
      <c r="A383" s="25" t="s">
        <v>457</v>
      </c>
      <c r="B383" s="26" t="str">
        <f>'Applicant (20)'!DS33</f>
        <v/>
      </c>
    </row>
    <row r="384" spans="1:2" ht="15" customHeight="1" x14ac:dyDescent="0.25">
      <c r="A384" s="27" t="s">
        <v>418</v>
      </c>
      <c r="B384" s="26" t="str">
        <f>IFERROR(INDEX('Identity (30)'!$O$6:$O$46,MATCH('Applicant (20)'!$A33&amp;"-"&amp;1,'Identity (30)'!$N$6:$N$46,0)),"")</f>
        <v/>
      </c>
    </row>
    <row r="385" spans="1:2" ht="15" customHeight="1" x14ac:dyDescent="0.25">
      <c r="A385" s="27" t="s">
        <v>419</v>
      </c>
      <c r="B385" s="26" t="str">
        <f>IFERROR(INDEX('Identity (30)'!$O$6:$O$46,MATCH('Applicant (20)'!$A33&amp;"-"&amp;2,'Identity (30)'!$N$6:$N$46,0)),"")</f>
        <v/>
      </c>
    </row>
    <row r="386" spans="1:2" ht="15" customHeight="1" x14ac:dyDescent="0.25">
      <c r="A386" s="27" t="s">
        <v>420</v>
      </c>
      <c r="B386" s="26" t="str">
        <f>IFERROR(INDEX('Identity (30)'!$O$6:$O$46,MATCH('Applicant (20)'!$A33&amp;"-"&amp;3,'Identity (30)'!$N$6:$N$46,0)),"")</f>
        <v/>
      </c>
    </row>
    <row r="387" spans="1:2" ht="15" customHeight="1" x14ac:dyDescent="0.25">
      <c r="A387" s="27" t="s">
        <v>421</v>
      </c>
      <c r="B387" s="26" t="str">
        <f>IFERROR(INDEX('Identity (30)'!$O$6:$O$46,MATCH('Applicant (20)'!$A33&amp;"-"&amp;4,'Identity (30)'!$N$6:$N$46,0)),"")</f>
        <v/>
      </c>
    </row>
    <row r="388" spans="1:2" ht="15" customHeight="1" x14ac:dyDescent="0.25">
      <c r="A388" s="27" t="s">
        <v>422</v>
      </c>
      <c r="B388" s="26" t="str">
        <f>IFERROR(INDEX('Related Person (40)'!$CO$6:$CO$26,MATCH('Applicant (20)'!$A33&amp;"-"&amp;1,'Related Person (40)'!$CN$6:$CN$26,0)),"")</f>
        <v/>
      </c>
    </row>
    <row r="389" spans="1:2" ht="15" customHeight="1" x14ac:dyDescent="0.25">
      <c r="A389" s="27" t="s">
        <v>423</v>
      </c>
      <c r="B389" s="26" t="str">
        <f>IFERROR(INDEX('Related Person (40)'!$CO$6:$CO$26,MATCH('Applicant (20)'!$A33&amp;"-"&amp;2,'Related Person (40)'!$CN$6:$CN$26,0)),"")</f>
        <v/>
      </c>
    </row>
    <row r="390" spans="1:2" ht="15" customHeight="1" x14ac:dyDescent="0.25">
      <c r="A390" s="27" t="s">
        <v>424</v>
      </c>
      <c r="B390" s="26" t="str">
        <f>IFERROR(INDEX('Related Person (40)'!$CO$6:$CO$26,MATCH('Applicant (20)'!$A33&amp;"-"&amp;3,'Related Person (40)'!$CN$6:$CN$26,0)),"")</f>
        <v/>
      </c>
    </row>
    <row r="391" spans="1:2" ht="15" customHeight="1" x14ac:dyDescent="0.25">
      <c r="A391" s="27" t="s">
        <v>425</v>
      </c>
      <c r="B391" s="26" t="str">
        <f>IFERROR(INDEX('Images (70)'!$L$6:$L$66,MATCH('Applicant (20)'!$A33&amp;"-"&amp;1,'Images (70)'!$K$6:$K$66,0)),"")</f>
        <v/>
      </c>
    </row>
    <row r="392" spans="1:2" ht="15" customHeight="1" x14ac:dyDescent="0.25">
      <c r="A392" s="27" t="s">
        <v>426</v>
      </c>
      <c r="B392" s="26" t="str">
        <f>IFERROR(INDEX('Images (70)'!$L$6:$L$66,MATCH('Applicant (20)'!$A33&amp;"-"&amp;2,'Images (70)'!$K$6:$K$66,0)),"")</f>
        <v/>
      </c>
    </row>
    <row r="393" spans="1:2" ht="15" customHeight="1" x14ac:dyDescent="0.25">
      <c r="A393" s="27" t="s">
        <v>427</v>
      </c>
      <c r="B393" s="26" t="str">
        <f>IFERROR(INDEX('Images (70)'!$L$6:$L$66,MATCH('Applicant (20)'!$A33&amp;"-"&amp;3,'Images (70)'!$K$6:$K$66,0)),"")</f>
        <v/>
      </c>
    </row>
    <row r="394" spans="1:2" ht="15" customHeight="1" x14ac:dyDescent="0.25">
      <c r="A394" s="27" t="s">
        <v>428</v>
      </c>
      <c r="B394" s="26" t="str">
        <f>IFERROR(INDEX('Images (70)'!$L$6:$L$66,MATCH('Applicant (20)'!$A33&amp;"-"&amp;4,'Images (70)'!$K$6:$K$66,0)),"")</f>
        <v/>
      </c>
    </row>
    <row r="395" spans="1:2" ht="15" customHeight="1" x14ac:dyDescent="0.25">
      <c r="A395" s="27" t="s">
        <v>429</v>
      </c>
      <c r="B395" s="26" t="str">
        <f>IFERROR(INDEX('Images (70)'!$L$6:$L$66,MATCH('Applicant (20)'!$A33&amp;"-"&amp;5,'Images (70)'!$K$6:$K$66,0)),"")</f>
        <v/>
      </c>
    </row>
    <row r="396" spans="1:2" ht="15" customHeight="1" x14ac:dyDescent="0.25">
      <c r="A396" s="27" t="s">
        <v>430</v>
      </c>
      <c r="B396" s="26" t="str">
        <f>IFERROR(INDEX('Images (70)'!$L$6:$L$66,MATCH('Applicant (20)'!$A33&amp;"-"&amp;6,'Images (70)'!$K$6:$K$66,0)),"")</f>
        <v/>
      </c>
    </row>
    <row r="397" spans="1:2" ht="15" customHeight="1" x14ac:dyDescent="0.25">
      <c r="A397" s="25" t="s">
        <v>458</v>
      </c>
      <c r="B397" s="26" t="str">
        <f>'Applicant (20)'!DS34</f>
        <v/>
      </c>
    </row>
    <row r="398" spans="1:2" ht="15" customHeight="1" x14ac:dyDescent="0.25">
      <c r="A398" s="27" t="s">
        <v>418</v>
      </c>
      <c r="B398" s="26" t="str">
        <f>IFERROR(INDEX('Identity (30)'!$O$6:$O$46,MATCH('Applicant (20)'!$A34&amp;"-"&amp;1,'Identity (30)'!$N$6:$N$46,0)),"")</f>
        <v/>
      </c>
    </row>
    <row r="399" spans="1:2" ht="15" customHeight="1" x14ac:dyDescent="0.25">
      <c r="A399" s="27" t="s">
        <v>419</v>
      </c>
      <c r="B399" s="26" t="str">
        <f>IFERROR(INDEX('Identity (30)'!$O$6:$O$46,MATCH('Applicant (20)'!$A34&amp;"-"&amp;2,'Identity (30)'!$N$6:$N$46,0)),"")</f>
        <v/>
      </c>
    </row>
    <row r="400" spans="1:2" ht="15" customHeight="1" x14ac:dyDescent="0.25">
      <c r="A400" s="27" t="s">
        <v>420</v>
      </c>
      <c r="B400" s="26" t="str">
        <f>IFERROR(INDEX('Identity (30)'!$O$6:$O$46,MATCH('Applicant (20)'!$A34&amp;"-"&amp;3,'Identity (30)'!$N$6:$N$46,0)),"")</f>
        <v/>
      </c>
    </row>
    <row r="401" spans="1:2" ht="15" customHeight="1" x14ac:dyDescent="0.25">
      <c r="A401" s="27" t="s">
        <v>421</v>
      </c>
      <c r="B401" s="26" t="str">
        <f>IFERROR(INDEX('Identity (30)'!$O$6:$O$46,MATCH('Applicant (20)'!$A34&amp;"-"&amp;4,'Identity (30)'!$N$6:$N$46,0)),"")</f>
        <v/>
      </c>
    </row>
    <row r="402" spans="1:2" ht="15" customHeight="1" x14ac:dyDescent="0.25">
      <c r="A402" s="27" t="s">
        <v>422</v>
      </c>
      <c r="B402" s="26" t="str">
        <f>IFERROR(INDEX('Related Person (40)'!$CO$6:$CO$26,MATCH('Applicant (20)'!$A34&amp;"-"&amp;1,'Related Person (40)'!$CN$6:$CN$26,0)),"")</f>
        <v/>
      </c>
    </row>
    <row r="403" spans="1:2" ht="15" customHeight="1" x14ac:dyDescent="0.25">
      <c r="A403" s="27" t="s">
        <v>423</v>
      </c>
      <c r="B403" s="26" t="str">
        <f>IFERROR(INDEX('Related Person (40)'!$CO$6:$CO$26,MATCH('Applicant (20)'!$A34&amp;"-"&amp;2,'Related Person (40)'!$CN$6:$CN$26,0)),"")</f>
        <v/>
      </c>
    </row>
    <row r="404" spans="1:2" ht="15" customHeight="1" x14ac:dyDescent="0.25">
      <c r="A404" s="27" t="s">
        <v>424</v>
      </c>
      <c r="B404" s="26" t="str">
        <f>IFERROR(INDEX('Related Person (40)'!$CO$6:$CO$26,MATCH('Applicant (20)'!$A34&amp;"-"&amp;3,'Related Person (40)'!$CN$6:$CN$26,0)),"")</f>
        <v/>
      </c>
    </row>
    <row r="405" spans="1:2" ht="15" customHeight="1" x14ac:dyDescent="0.25">
      <c r="A405" s="27" t="s">
        <v>425</v>
      </c>
      <c r="B405" s="26" t="str">
        <f>IFERROR(INDEX('Images (70)'!$L$6:$L$66,MATCH('Applicant (20)'!$A34&amp;"-"&amp;1,'Images (70)'!$K$6:$K$66,0)),"")</f>
        <v/>
      </c>
    </row>
    <row r="406" spans="1:2" ht="15" customHeight="1" x14ac:dyDescent="0.25">
      <c r="A406" s="27" t="s">
        <v>426</v>
      </c>
      <c r="B406" s="26" t="str">
        <f>IFERROR(INDEX('Images (70)'!$L$6:$L$66,MATCH('Applicant (20)'!$A34&amp;"-"&amp;2,'Images (70)'!$K$6:$K$66,0)),"")</f>
        <v/>
      </c>
    </row>
    <row r="407" spans="1:2" ht="15" customHeight="1" x14ac:dyDescent="0.25">
      <c r="A407" s="27" t="s">
        <v>427</v>
      </c>
      <c r="B407" s="26" t="str">
        <f>IFERROR(INDEX('Images (70)'!$L$6:$L$66,MATCH('Applicant (20)'!$A34&amp;"-"&amp;3,'Images (70)'!$K$6:$K$66,0)),"")</f>
        <v/>
      </c>
    </row>
    <row r="408" spans="1:2" ht="15" customHeight="1" x14ac:dyDescent="0.25">
      <c r="A408" s="27" t="s">
        <v>428</v>
      </c>
      <c r="B408" s="26" t="str">
        <f>IFERROR(INDEX('Images (70)'!$L$6:$L$66,MATCH('Applicant (20)'!$A34&amp;"-"&amp;4,'Images (70)'!$K$6:$K$66,0)),"")</f>
        <v/>
      </c>
    </row>
    <row r="409" spans="1:2" ht="15" customHeight="1" x14ac:dyDescent="0.25">
      <c r="A409" s="27" t="s">
        <v>429</v>
      </c>
      <c r="B409" s="26" t="str">
        <f>IFERROR(INDEX('Images (70)'!$L$6:$L$66,MATCH('Applicant (20)'!$A34&amp;"-"&amp;5,'Images (70)'!$K$6:$K$66,0)),"")</f>
        <v/>
      </c>
    </row>
    <row r="410" spans="1:2" ht="15" customHeight="1" x14ac:dyDescent="0.25">
      <c r="A410" s="27" t="s">
        <v>430</v>
      </c>
      <c r="B410" s="26" t="str">
        <f>IFERROR(INDEX('Images (70)'!$L$6:$L$66,MATCH('Applicant (20)'!$A34&amp;"-"&amp;6,'Images (70)'!$K$6:$K$66,0)),"")</f>
        <v/>
      </c>
    </row>
    <row r="411" spans="1:2" ht="15" customHeight="1" x14ac:dyDescent="0.25">
      <c r="A411" s="25" t="s">
        <v>459</v>
      </c>
      <c r="B411" s="26" t="str">
        <f>'Applicant (20)'!DS35</f>
        <v/>
      </c>
    </row>
    <row r="412" spans="1:2" ht="15" customHeight="1" x14ac:dyDescent="0.25">
      <c r="A412" s="27" t="s">
        <v>418</v>
      </c>
      <c r="B412" s="26" t="str">
        <f>IFERROR(INDEX('Identity (30)'!$O$6:$O$46,MATCH('Applicant (20)'!$A35&amp;"-"&amp;1,'Identity (30)'!$N$6:$N$46,0)),"")</f>
        <v/>
      </c>
    </row>
    <row r="413" spans="1:2" ht="15" customHeight="1" x14ac:dyDescent="0.25">
      <c r="A413" s="27" t="s">
        <v>419</v>
      </c>
      <c r="B413" s="26" t="str">
        <f>IFERROR(INDEX('Identity (30)'!$O$6:$O$46,MATCH('Applicant (20)'!$A35&amp;"-"&amp;2,'Identity (30)'!$N$6:$N$46,0)),"")</f>
        <v/>
      </c>
    </row>
    <row r="414" spans="1:2" ht="15" customHeight="1" x14ac:dyDescent="0.25">
      <c r="A414" s="27" t="s">
        <v>420</v>
      </c>
      <c r="B414" s="26" t="str">
        <f>IFERROR(INDEX('Identity (30)'!$O$6:$O$46,MATCH('Applicant (20)'!$A35&amp;"-"&amp;3,'Identity (30)'!$N$6:$N$46,0)),"")</f>
        <v/>
      </c>
    </row>
    <row r="415" spans="1:2" ht="15" customHeight="1" x14ac:dyDescent="0.25">
      <c r="A415" s="27" t="s">
        <v>421</v>
      </c>
      <c r="B415" s="26" t="str">
        <f>IFERROR(INDEX('Identity (30)'!$O$6:$O$46,MATCH('Applicant (20)'!$A35&amp;"-"&amp;4,'Identity (30)'!$N$6:$N$46,0)),"")</f>
        <v/>
      </c>
    </row>
    <row r="416" spans="1:2" ht="15" customHeight="1" x14ac:dyDescent="0.25">
      <c r="A416" s="27" t="s">
        <v>422</v>
      </c>
      <c r="B416" s="26" t="str">
        <f>IFERROR(INDEX('Related Person (40)'!$CO$6:$CO$26,MATCH('Applicant (20)'!$A35&amp;"-"&amp;1,'Related Person (40)'!$CN$6:$CN$26,0)),"")</f>
        <v/>
      </c>
    </row>
    <row r="417" spans="1:2" ht="15" customHeight="1" x14ac:dyDescent="0.25">
      <c r="A417" s="27" t="s">
        <v>423</v>
      </c>
      <c r="B417" s="26" t="str">
        <f>IFERROR(INDEX('Related Person (40)'!$CO$6:$CO$26,MATCH('Applicant (20)'!$A35&amp;"-"&amp;2,'Related Person (40)'!$CN$6:$CN$26,0)),"")</f>
        <v/>
      </c>
    </row>
    <row r="418" spans="1:2" ht="15" customHeight="1" x14ac:dyDescent="0.25">
      <c r="A418" s="27" t="s">
        <v>424</v>
      </c>
      <c r="B418" s="26" t="str">
        <f>IFERROR(INDEX('Related Person (40)'!$CO$6:$CO$26,MATCH('Applicant (20)'!$A35&amp;"-"&amp;3,'Related Person (40)'!$CN$6:$CN$26,0)),"")</f>
        <v/>
      </c>
    </row>
    <row r="419" spans="1:2" ht="15" customHeight="1" x14ac:dyDescent="0.25">
      <c r="A419" s="27" t="s">
        <v>425</v>
      </c>
      <c r="B419" s="26" t="str">
        <f>IFERROR(INDEX('Images (70)'!$L$6:$L$66,MATCH('Applicant (20)'!$A35&amp;"-"&amp;1,'Images (70)'!$K$6:$K$66,0)),"")</f>
        <v/>
      </c>
    </row>
    <row r="420" spans="1:2" ht="15" customHeight="1" x14ac:dyDescent="0.25">
      <c r="A420" s="27" t="s">
        <v>426</v>
      </c>
      <c r="B420" s="26" t="str">
        <f>IFERROR(INDEX('Images (70)'!$L$6:$L$66,MATCH('Applicant (20)'!$A35&amp;"-"&amp;2,'Images (70)'!$K$6:$K$66,0)),"")</f>
        <v/>
      </c>
    </row>
    <row r="421" spans="1:2" ht="15" customHeight="1" x14ac:dyDescent="0.25">
      <c r="A421" s="27" t="s">
        <v>427</v>
      </c>
      <c r="B421" s="26" t="str">
        <f>IFERROR(INDEX('Images (70)'!$L$6:$L$66,MATCH('Applicant (20)'!$A35&amp;"-"&amp;3,'Images (70)'!$K$6:$K$66,0)),"")</f>
        <v/>
      </c>
    </row>
    <row r="422" spans="1:2" ht="15" customHeight="1" x14ac:dyDescent="0.25">
      <c r="A422" s="27" t="s">
        <v>428</v>
      </c>
      <c r="B422" s="26" t="str">
        <f>IFERROR(INDEX('Images (70)'!$L$6:$L$66,MATCH('Applicant (20)'!$A35&amp;"-"&amp;4,'Images (70)'!$K$6:$K$66,0)),"")</f>
        <v/>
      </c>
    </row>
    <row r="423" spans="1:2" ht="15" customHeight="1" x14ac:dyDescent="0.25">
      <c r="A423" s="27" t="s">
        <v>429</v>
      </c>
      <c r="B423" s="26" t="str">
        <f>IFERROR(INDEX('Images (70)'!$L$6:$L$66,MATCH('Applicant (20)'!$A35&amp;"-"&amp;5,'Images (70)'!$K$6:$K$66,0)),"")</f>
        <v/>
      </c>
    </row>
    <row r="424" spans="1:2" ht="15" customHeight="1" x14ac:dyDescent="0.25">
      <c r="A424" s="27" t="s">
        <v>430</v>
      </c>
      <c r="B424" s="26" t="str">
        <f>IFERROR(INDEX('Images (70)'!$L$6:$L$66,MATCH('Applicant (20)'!$A35&amp;"-"&amp;6,'Images (70)'!$K$6:$K$66,0)),"")</f>
        <v/>
      </c>
    </row>
    <row r="425" spans="1:2" ht="15" customHeight="1" x14ac:dyDescent="0.25">
      <c r="A425" s="25" t="s">
        <v>460</v>
      </c>
      <c r="B425" s="26" t="str">
        <f>'Applicant (20)'!DS36</f>
        <v/>
      </c>
    </row>
    <row r="426" spans="1:2" ht="15" customHeight="1" x14ac:dyDescent="0.25">
      <c r="A426" s="27" t="s">
        <v>418</v>
      </c>
      <c r="B426" s="26" t="str">
        <f>IFERROR(INDEX('Identity (30)'!$O$6:$O$46,MATCH('Applicant (20)'!$A36&amp;"-"&amp;1,'Identity (30)'!$N$6:$N$46,0)),"")</f>
        <v/>
      </c>
    </row>
    <row r="427" spans="1:2" ht="15" customHeight="1" x14ac:dyDescent="0.25">
      <c r="A427" s="27" t="s">
        <v>419</v>
      </c>
      <c r="B427" s="26" t="str">
        <f>IFERROR(INDEX('Identity (30)'!$O$6:$O$46,MATCH('Applicant (20)'!$A36&amp;"-"&amp;2,'Identity (30)'!$N$6:$N$46,0)),"")</f>
        <v/>
      </c>
    </row>
    <row r="428" spans="1:2" ht="15" customHeight="1" x14ac:dyDescent="0.25">
      <c r="A428" s="27" t="s">
        <v>420</v>
      </c>
      <c r="B428" s="26" t="str">
        <f>IFERROR(INDEX('Identity (30)'!$O$6:$O$46,MATCH('Applicant (20)'!$A36&amp;"-"&amp;3,'Identity (30)'!$N$6:$N$46,0)),"")</f>
        <v/>
      </c>
    </row>
    <row r="429" spans="1:2" ht="15" customHeight="1" x14ac:dyDescent="0.25">
      <c r="A429" s="27" t="s">
        <v>421</v>
      </c>
      <c r="B429" s="26" t="str">
        <f>IFERROR(INDEX('Identity (30)'!$O$6:$O$46,MATCH('Applicant (20)'!$A36&amp;"-"&amp;4,'Identity (30)'!$N$6:$N$46,0)),"")</f>
        <v/>
      </c>
    </row>
    <row r="430" spans="1:2" ht="15" customHeight="1" x14ac:dyDescent="0.25">
      <c r="A430" s="27" t="s">
        <v>422</v>
      </c>
      <c r="B430" s="26" t="str">
        <f>IFERROR(INDEX('Related Person (40)'!$CO$6:$CO$26,MATCH('Applicant (20)'!$A36&amp;"-"&amp;1,'Related Person (40)'!$CN$6:$CN$26,0)),"")</f>
        <v/>
      </c>
    </row>
    <row r="431" spans="1:2" ht="15" customHeight="1" x14ac:dyDescent="0.25">
      <c r="A431" s="27" t="s">
        <v>423</v>
      </c>
      <c r="B431" s="26" t="str">
        <f>IFERROR(INDEX('Related Person (40)'!$CO$6:$CO$26,MATCH('Applicant (20)'!$A36&amp;"-"&amp;2,'Related Person (40)'!$CN$6:$CN$26,0)),"")</f>
        <v/>
      </c>
    </row>
    <row r="432" spans="1:2" ht="15" customHeight="1" x14ac:dyDescent="0.25">
      <c r="A432" s="27" t="s">
        <v>424</v>
      </c>
      <c r="B432" s="26" t="str">
        <f>IFERROR(INDEX('Related Person (40)'!$CO$6:$CO$26,MATCH('Applicant (20)'!$A36&amp;"-"&amp;3,'Related Person (40)'!$CN$6:$CN$26,0)),"")</f>
        <v/>
      </c>
    </row>
    <row r="433" spans="1:2" ht="15" customHeight="1" x14ac:dyDescent="0.25">
      <c r="A433" s="27" t="s">
        <v>425</v>
      </c>
      <c r="B433" s="26" t="str">
        <f>IFERROR(INDEX('Images (70)'!$L$6:$L$66,MATCH('Applicant (20)'!$A36&amp;"-"&amp;1,'Images (70)'!$K$6:$K$66,0)),"")</f>
        <v/>
      </c>
    </row>
    <row r="434" spans="1:2" ht="15" customHeight="1" x14ac:dyDescent="0.25">
      <c r="A434" s="27" t="s">
        <v>426</v>
      </c>
      <c r="B434" s="26" t="str">
        <f>IFERROR(INDEX('Images (70)'!$L$6:$L$66,MATCH('Applicant (20)'!$A36&amp;"-"&amp;2,'Images (70)'!$K$6:$K$66,0)),"")</f>
        <v/>
      </c>
    </row>
    <row r="435" spans="1:2" ht="15" customHeight="1" x14ac:dyDescent="0.25">
      <c r="A435" s="27" t="s">
        <v>427</v>
      </c>
      <c r="B435" s="26" t="str">
        <f>IFERROR(INDEX('Images (70)'!$L$6:$L$66,MATCH('Applicant (20)'!$A36&amp;"-"&amp;3,'Images (70)'!$K$6:$K$66,0)),"")</f>
        <v/>
      </c>
    </row>
    <row r="436" spans="1:2" ht="15" customHeight="1" x14ac:dyDescent="0.25">
      <c r="A436" s="27" t="s">
        <v>428</v>
      </c>
      <c r="B436" s="26" t="str">
        <f>IFERROR(INDEX('Images (70)'!$L$6:$L$66,MATCH('Applicant (20)'!$A36&amp;"-"&amp;4,'Images (70)'!$K$6:$K$66,0)),"")</f>
        <v/>
      </c>
    </row>
    <row r="437" spans="1:2" ht="15" customHeight="1" x14ac:dyDescent="0.25">
      <c r="A437" s="27" t="s">
        <v>429</v>
      </c>
      <c r="B437" s="26" t="str">
        <f>IFERROR(INDEX('Images (70)'!$L$6:$L$66,MATCH('Applicant (20)'!$A36&amp;"-"&amp;5,'Images (70)'!$K$6:$K$66,0)),"")</f>
        <v/>
      </c>
    </row>
    <row r="438" spans="1:2" ht="15" customHeight="1" x14ac:dyDescent="0.25">
      <c r="A438" s="27" t="s">
        <v>430</v>
      </c>
      <c r="B438" s="26" t="str">
        <f>IFERROR(INDEX('Images (70)'!$L$6:$L$66,MATCH('Applicant (20)'!$A36&amp;"-"&amp;6,'Images (70)'!$K$6:$K$66,0)),"")</f>
        <v/>
      </c>
    </row>
    <row r="439" spans="1:2" ht="15" customHeight="1" x14ac:dyDescent="0.25">
      <c r="A439" s="25" t="s">
        <v>461</v>
      </c>
      <c r="B439" s="26" t="str">
        <f>'Applicant (20)'!DS37</f>
        <v/>
      </c>
    </row>
    <row r="440" spans="1:2" ht="15" customHeight="1" x14ac:dyDescent="0.25">
      <c r="A440" s="27" t="s">
        <v>418</v>
      </c>
      <c r="B440" s="26" t="str">
        <f>IFERROR(INDEX('Identity (30)'!$O$6:$O$46,MATCH('Applicant (20)'!$A37&amp;"-"&amp;1,'Identity (30)'!$N$6:$N$46,0)),"")</f>
        <v/>
      </c>
    </row>
    <row r="441" spans="1:2" ht="15" customHeight="1" x14ac:dyDescent="0.25">
      <c r="A441" s="27" t="s">
        <v>419</v>
      </c>
      <c r="B441" s="26" t="str">
        <f>IFERROR(INDEX('Identity (30)'!$O$6:$O$46,MATCH('Applicant (20)'!$A37&amp;"-"&amp;2,'Identity (30)'!$N$6:$N$46,0)),"")</f>
        <v/>
      </c>
    </row>
    <row r="442" spans="1:2" ht="15" customHeight="1" x14ac:dyDescent="0.25">
      <c r="A442" s="27" t="s">
        <v>420</v>
      </c>
      <c r="B442" s="26" t="str">
        <f>IFERROR(INDEX('Identity (30)'!$O$6:$O$46,MATCH('Applicant (20)'!$A37&amp;"-"&amp;3,'Identity (30)'!$N$6:$N$46,0)),"")</f>
        <v/>
      </c>
    </row>
    <row r="443" spans="1:2" ht="15" customHeight="1" x14ac:dyDescent="0.25">
      <c r="A443" s="27" t="s">
        <v>421</v>
      </c>
      <c r="B443" s="26" t="str">
        <f>IFERROR(INDEX('Identity (30)'!$O$6:$O$46,MATCH('Applicant (20)'!$A37&amp;"-"&amp;4,'Identity (30)'!$N$6:$N$46,0)),"")</f>
        <v/>
      </c>
    </row>
    <row r="444" spans="1:2" ht="15" customHeight="1" x14ac:dyDescent="0.25">
      <c r="A444" s="27" t="s">
        <v>422</v>
      </c>
      <c r="B444" s="26" t="str">
        <f>IFERROR(INDEX('Related Person (40)'!$CO$6:$CO$26,MATCH('Applicant (20)'!$A37&amp;"-"&amp;1,'Related Person (40)'!$CN$6:$CN$26,0)),"")</f>
        <v/>
      </c>
    </row>
    <row r="445" spans="1:2" ht="15" customHeight="1" x14ac:dyDescent="0.25">
      <c r="A445" s="27" t="s">
        <v>423</v>
      </c>
      <c r="B445" s="26" t="str">
        <f>IFERROR(INDEX('Related Person (40)'!$CO$6:$CO$26,MATCH('Applicant (20)'!$A37&amp;"-"&amp;2,'Related Person (40)'!$CN$6:$CN$26,0)),"")</f>
        <v/>
      </c>
    </row>
    <row r="446" spans="1:2" ht="15" customHeight="1" x14ac:dyDescent="0.25">
      <c r="A446" s="27" t="s">
        <v>424</v>
      </c>
      <c r="B446" s="26" t="str">
        <f>IFERROR(INDEX('Related Person (40)'!$CO$6:$CO$26,MATCH('Applicant (20)'!$A37&amp;"-"&amp;3,'Related Person (40)'!$CN$6:$CN$26,0)),"")</f>
        <v/>
      </c>
    </row>
    <row r="447" spans="1:2" ht="15" customHeight="1" x14ac:dyDescent="0.25">
      <c r="A447" s="27" t="s">
        <v>425</v>
      </c>
      <c r="B447" s="26" t="str">
        <f>IFERROR(INDEX('Images (70)'!$L$6:$L$66,MATCH('Applicant (20)'!$A37&amp;"-"&amp;1,'Images (70)'!$K$6:$K$66,0)),"")</f>
        <v/>
      </c>
    </row>
    <row r="448" spans="1:2" ht="15" customHeight="1" x14ac:dyDescent="0.25">
      <c r="A448" s="27" t="s">
        <v>426</v>
      </c>
      <c r="B448" s="26" t="str">
        <f>IFERROR(INDEX('Images (70)'!$L$6:$L$66,MATCH('Applicant (20)'!$A37&amp;"-"&amp;2,'Images (70)'!$K$6:$K$66,0)),"")</f>
        <v/>
      </c>
    </row>
    <row r="449" spans="1:2" ht="15" customHeight="1" x14ac:dyDescent="0.25">
      <c r="A449" s="27" t="s">
        <v>427</v>
      </c>
      <c r="B449" s="26" t="str">
        <f>IFERROR(INDEX('Images (70)'!$L$6:$L$66,MATCH('Applicant (20)'!$A37&amp;"-"&amp;3,'Images (70)'!$K$6:$K$66,0)),"")</f>
        <v/>
      </c>
    </row>
    <row r="450" spans="1:2" ht="15" customHeight="1" x14ac:dyDescent="0.25">
      <c r="A450" s="27" t="s">
        <v>428</v>
      </c>
      <c r="B450" s="26" t="str">
        <f>IFERROR(INDEX('Images (70)'!$L$6:$L$66,MATCH('Applicant (20)'!$A37&amp;"-"&amp;4,'Images (70)'!$K$6:$K$66,0)),"")</f>
        <v/>
      </c>
    </row>
    <row r="451" spans="1:2" ht="15" customHeight="1" x14ac:dyDescent="0.25">
      <c r="A451" s="27" t="s">
        <v>429</v>
      </c>
      <c r="B451" s="26" t="str">
        <f>IFERROR(INDEX('Images (70)'!$L$6:$L$66,MATCH('Applicant (20)'!$A37&amp;"-"&amp;5,'Images (70)'!$K$6:$K$66,0)),"")</f>
        <v/>
      </c>
    </row>
    <row r="452" spans="1:2" ht="15" customHeight="1" x14ac:dyDescent="0.25">
      <c r="A452" s="27" t="s">
        <v>430</v>
      </c>
      <c r="B452" s="26" t="str">
        <f>IFERROR(INDEX('Images (70)'!$L$6:$L$66,MATCH('Applicant (20)'!$A37&amp;"-"&amp;6,'Images (70)'!$K$6:$K$66,0)),"")</f>
        <v/>
      </c>
    </row>
    <row r="453" spans="1:2" ht="15" customHeight="1" x14ac:dyDescent="0.25">
      <c r="A453" s="25" t="s">
        <v>462</v>
      </c>
      <c r="B453" s="26" t="str">
        <f>'Applicant (20)'!DS38</f>
        <v/>
      </c>
    </row>
    <row r="454" spans="1:2" ht="15" customHeight="1" x14ac:dyDescent="0.25">
      <c r="A454" s="27" t="s">
        <v>418</v>
      </c>
      <c r="B454" s="26" t="str">
        <f>IFERROR(INDEX('Identity (30)'!$O$6:$O$46,MATCH('Applicant (20)'!$A38&amp;"-"&amp;1,'Identity (30)'!$N$6:$N$46,0)),"")</f>
        <v/>
      </c>
    </row>
    <row r="455" spans="1:2" ht="15" customHeight="1" x14ac:dyDescent="0.25">
      <c r="A455" s="27" t="s">
        <v>419</v>
      </c>
      <c r="B455" s="26" t="str">
        <f>IFERROR(INDEX('Identity (30)'!$O$6:$O$46,MATCH('Applicant (20)'!$A38&amp;"-"&amp;2,'Identity (30)'!$N$6:$N$46,0)),"")</f>
        <v/>
      </c>
    </row>
    <row r="456" spans="1:2" ht="15" customHeight="1" x14ac:dyDescent="0.25">
      <c r="A456" s="27" t="s">
        <v>420</v>
      </c>
      <c r="B456" s="26" t="str">
        <f>IFERROR(INDEX('Identity (30)'!$O$6:$O$46,MATCH('Applicant (20)'!$A38&amp;"-"&amp;3,'Identity (30)'!$N$6:$N$46,0)),"")</f>
        <v/>
      </c>
    </row>
    <row r="457" spans="1:2" ht="15" customHeight="1" x14ac:dyDescent="0.25">
      <c r="A457" s="27" t="s">
        <v>421</v>
      </c>
      <c r="B457" s="26" t="str">
        <f>IFERROR(INDEX('Identity (30)'!$O$6:$O$46,MATCH('Applicant (20)'!$A38&amp;"-"&amp;4,'Identity (30)'!$N$6:$N$46,0)),"")</f>
        <v/>
      </c>
    </row>
    <row r="458" spans="1:2" ht="15" customHeight="1" x14ac:dyDescent="0.25">
      <c r="A458" s="27" t="s">
        <v>422</v>
      </c>
      <c r="B458" s="26" t="str">
        <f>IFERROR(INDEX('Related Person (40)'!$CO$6:$CO$26,MATCH('Applicant (20)'!$A38&amp;"-"&amp;1,'Related Person (40)'!$CN$6:$CN$26,0)),"")</f>
        <v/>
      </c>
    </row>
    <row r="459" spans="1:2" ht="15" customHeight="1" x14ac:dyDescent="0.25">
      <c r="A459" s="27" t="s">
        <v>423</v>
      </c>
      <c r="B459" s="26" t="str">
        <f>IFERROR(INDEX('Related Person (40)'!$CO$6:$CO$26,MATCH('Applicant (20)'!$A38&amp;"-"&amp;2,'Related Person (40)'!$CN$6:$CN$26,0)),"")</f>
        <v/>
      </c>
    </row>
    <row r="460" spans="1:2" ht="15" customHeight="1" x14ac:dyDescent="0.25">
      <c r="A460" s="27" t="s">
        <v>424</v>
      </c>
      <c r="B460" s="26" t="str">
        <f>IFERROR(INDEX('Related Person (40)'!$CO$6:$CO$26,MATCH('Applicant (20)'!$A38&amp;"-"&amp;3,'Related Person (40)'!$CN$6:$CN$26,0)),"")</f>
        <v/>
      </c>
    </row>
    <row r="461" spans="1:2" ht="15" customHeight="1" x14ac:dyDescent="0.25">
      <c r="A461" s="27" t="s">
        <v>425</v>
      </c>
      <c r="B461" s="26" t="str">
        <f>IFERROR(INDEX('Images (70)'!$L$6:$L$66,MATCH('Applicant (20)'!$A38&amp;"-"&amp;1,'Images (70)'!$K$6:$K$66,0)),"")</f>
        <v/>
      </c>
    </row>
    <row r="462" spans="1:2" ht="15" customHeight="1" x14ac:dyDescent="0.25">
      <c r="A462" s="27" t="s">
        <v>426</v>
      </c>
      <c r="B462" s="26" t="str">
        <f>IFERROR(INDEX('Images (70)'!$L$6:$L$66,MATCH('Applicant (20)'!$A38&amp;"-"&amp;2,'Images (70)'!$K$6:$K$66,0)),"")</f>
        <v/>
      </c>
    </row>
    <row r="463" spans="1:2" ht="15" customHeight="1" x14ac:dyDescent="0.25">
      <c r="A463" s="27" t="s">
        <v>427</v>
      </c>
      <c r="B463" s="26" t="str">
        <f>IFERROR(INDEX('Images (70)'!$L$6:$L$66,MATCH('Applicant (20)'!$A38&amp;"-"&amp;3,'Images (70)'!$K$6:$K$66,0)),"")</f>
        <v/>
      </c>
    </row>
    <row r="464" spans="1:2" ht="15" customHeight="1" x14ac:dyDescent="0.25">
      <c r="A464" s="27" t="s">
        <v>428</v>
      </c>
      <c r="B464" s="26" t="str">
        <f>IFERROR(INDEX('Images (70)'!$L$6:$L$66,MATCH('Applicant (20)'!$A38&amp;"-"&amp;4,'Images (70)'!$K$6:$K$66,0)),"")</f>
        <v/>
      </c>
    </row>
    <row r="465" spans="1:2" ht="15" customHeight="1" x14ac:dyDescent="0.25">
      <c r="A465" s="27" t="s">
        <v>429</v>
      </c>
      <c r="B465" s="26" t="str">
        <f>IFERROR(INDEX('Images (70)'!$L$6:$L$66,MATCH('Applicant (20)'!$A38&amp;"-"&amp;5,'Images (70)'!$K$6:$K$66,0)),"")</f>
        <v/>
      </c>
    </row>
    <row r="466" spans="1:2" ht="15" customHeight="1" x14ac:dyDescent="0.25">
      <c r="A466" s="27" t="s">
        <v>430</v>
      </c>
      <c r="B466" s="26" t="str">
        <f>IFERROR(INDEX('Images (70)'!$L$6:$L$66,MATCH('Applicant (20)'!$A38&amp;"-"&amp;6,'Images (70)'!$K$6:$K$66,0)),"")</f>
        <v/>
      </c>
    </row>
    <row r="467" spans="1:2" ht="15" customHeight="1" x14ac:dyDescent="0.25">
      <c r="A467" s="25" t="s">
        <v>463</v>
      </c>
      <c r="B467" s="26" t="str">
        <f>'Applicant (20)'!DS39</f>
        <v/>
      </c>
    </row>
    <row r="468" spans="1:2" ht="15" customHeight="1" x14ac:dyDescent="0.25">
      <c r="A468" s="27" t="s">
        <v>418</v>
      </c>
      <c r="B468" s="26" t="str">
        <f>IFERROR(INDEX('Identity (30)'!$O$6:$O$46,MATCH('Applicant (20)'!$A39&amp;"-"&amp;1,'Identity (30)'!$N$6:$N$46,0)),"")</f>
        <v/>
      </c>
    </row>
    <row r="469" spans="1:2" ht="15" customHeight="1" x14ac:dyDescent="0.25">
      <c r="A469" s="27" t="s">
        <v>419</v>
      </c>
      <c r="B469" s="26" t="str">
        <f>IFERROR(INDEX('Identity (30)'!$O$6:$O$46,MATCH('Applicant (20)'!$A39&amp;"-"&amp;2,'Identity (30)'!$N$6:$N$46,0)),"")</f>
        <v/>
      </c>
    </row>
    <row r="470" spans="1:2" ht="15" customHeight="1" x14ac:dyDescent="0.25">
      <c r="A470" s="27" t="s">
        <v>420</v>
      </c>
      <c r="B470" s="26" t="str">
        <f>IFERROR(INDEX('Identity (30)'!$O$6:$O$46,MATCH('Applicant (20)'!$A39&amp;"-"&amp;3,'Identity (30)'!$N$6:$N$46,0)),"")</f>
        <v/>
      </c>
    </row>
    <row r="471" spans="1:2" ht="15" customHeight="1" x14ac:dyDescent="0.25">
      <c r="A471" s="27" t="s">
        <v>421</v>
      </c>
      <c r="B471" s="26" t="str">
        <f>IFERROR(INDEX('Identity (30)'!$O$6:$O$46,MATCH('Applicant (20)'!$A39&amp;"-"&amp;4,'Identity (30)'!$N$6:$N$46,0)),"")</f>
        <v/>
      </c>
    </row>
    <row r="472" spans="1:2" ht="15" customHeight="1" x14ac:dyDescent="0.25">
      <c r="A472" s="27" t="s">
        <v>422</v>
      </c>
      <c r="B472" s="26" t="str">
        <f>IFERROR(INDEX('Related Person (40)'!$CO$6:$CO$26,MATCH('Applicant (20)'!$A39&amp;"-"&amp;1,'Related Person (40)'!$CN$6:$CN$26,0)),"")</f>
        <v/>
      </c>
    </row>
    <row r="473" spans="1:2" ht="15" customHeight="1" x14ac:dyDescent="0.25">
      <c r="A473" s="27" t="s">
        <v>423</v>
      </c>
      <c r="B473" s="26" t="str">
        <f>IFERROR(INDEX('Related Person (40)'!$CO$6:$CO$26,MATCH('Applicant (20)'!$A39&amp;"-"&amp;2,'Related Person (40)'!$CN$6:$CN$26,0)),"")</f>
        <v/>
      </c>
    </row>
    <row r="474" spans="1:2" ht="15" customHeight="1" x14ac:dyDescent="0.25">
      <c r="A474" s="27" t="s">
        <v>424</v>
      </c>
      <c r="B474" s="26" t="str">
        <f>IFERROR(INDEX('Related Person (40)'!$CO$6:$CO$26,MATCH('Applicant (20)'!$A39&amp;"-"&amp;3,'Related Person (40)'!$CN$6:$CN$26,0)),"")</f>
        <v/>
      </c>
    </row>
    <row r="475" spans="1:2" ht="15" customHeight="1" x14ac:dyDescent="0.25">
      <c r="A475" s="27" t="s">
        <v>425</v>
      </c>
      <c r="B475" s="26" t="str">
        <f>IFERROR(INDEX('Images (70)'!$L$6:$L$66,MATCH('Applicant (20)'!$A39&amp;"-"&amp;1,'Images (70)'!$K$6:$K$66,0)),"")</f>
        <v/>
      </c>
    </row>
    <row r="476" spans="1:2" ht="15" customHeight="1" x14ac:dyDescent="0.25">
      <c r="A476" s="27" t="s">
        <v>426</v>
      </c>
      <c r="B476" s="26" t="str">
        <f>IFERROR(INDEX('Images (70)'!$L$6:$L$66,MATCH('Applicant (20)'!$A39&amp;"-"&amp;2,'Images (70)'!$K$6:$K$66,0)),"")</f>
        <v/>
      </c>
    </row>
    <row r="477" spans="1:2" ht="15" customHeight="1" x14ac:dyDescent="0.25">
      <c r="A477" s="27" t="s">
        <v>427</v>
      </c>
      <c r="B477" s="26" t="str">
        <f>IFERROR(INDEX('Images (70)'!$L$6:$L$66,MATCH('Applicant (20)'!$A39&amp;"-"&amp;3,'Images (70)'!$K$6:$K$66,0)),"")</f>
        <v/>
      </c>
    </row>
    <row r="478" spans="1:2" ht="15" customHeight="1" x14ac:dyDescent="0.25">
      <c r="A478" s="27" t="s">
        <v>428</v>
      </c>
      <c r="B478" s="26" t="str">
        <f>IFERROR(INDEX('Images (70)'!$L$6:$L$66,MATCH('Applicant (20)'!$A39&amp;"-"&amp;4,'Images (70)'!$K$6:$K$66,0)),"")</f>
        <v/>
      </c>
    </row>
    <row r="479" spans="1:2" ht="15" customHeight="1" x14ac:dyDescent="0.25">
      <c r="A479" s="27" t="s">
        <v>429</v>
      </c>
      <c r="B479" s="26" t="str">
        <f>IFERROR(INDEX('Images (70)'!$L$6:$L$66,MATCH('Applicant (20)'!$A39&amp;"-"&amp;5,'Images (70)'!$K$6:$K$66,0)),"")</f>
        <v/>
      </c>
    </row>
    <row r="480" spans="1:2" ht="15" customHeight="1" x14ac:dyDescent="0.25">
      <c r="A480" s="27" t="s">
        <v>430</v>
      </c>
      <c r="B480" s="26" t="str">
        <f>IFERROR(INDEX('Images (70)'!$L$6:$L$66,MATCH('Applicant (20)'!$A39&amp;"-"&amp;6,'Images (70)'!$K$6:$K$66,0)),"")</f>
        <v/>
      </c>
    </row>
    <row r="481" spans="1:2" ht="15" customHeight="1" x14ac:dyDescent="0.25">
      <c r="A481" s="25" t="s">
        <v>464</v>
      </c>
      <c r="B481" s="26" t="str">
        <f>'Applicant (20)'!DS40</f>
        <v/>
      </c>
    </row>
    <row r="482" spans="1:2" ht="15" customHeight="1" x14ac:dyDescent="0.25">
      <c r="A482" s="27" t="s">
        <v>418</v>
      </c>
      <c r="B482" s="26" t="str">
        <f>IFERROR(INDEX('Identity (30)'!$O$6:$O$46,MATCH('Applicant (20)'!$A40&amp;"-"&amp;1,'Identity (30)'!$N$6:$N$46,0)),"")</f>
        <v/>
      </c>
    </row>
    <row r="483" spans="1:2" ht="15" customHeight="1" x14ac:dyDescent="0.25">
      <c r="A483" s="27" t="s">
        <v>419</v>
      </c>
      <c r="B483" s="26" t="str">
        <f>IFERROR(INDEX('Identity (30)'!$O$6:$O$46,MATCH('Applicant (20)'!$A40&amp;"-"&amp;2,'Identity (30)'!$N$6:$N$46,0)),"")</f>
        <v/>
      </c>
    </row>
    <row r="484" spans="1:2" ht="15" customHeight="1" x14ac:dyDescent="0.25">
      <c r="A484" s="27" t="s">
        <v>420</v>
      </c>
      <c r="B484" s="26" t="str">
        <f>IFERROR(INDEX('Identity (30)'!$O$6:$O$46,MATCH('Applicant (20)'!$A40&amp;"-"&amp;3,'Identity (30)'!$N$6:$N$46,0)),"")</f>
        <v/>
      </c>
    </row>
    <row r="485" spans="1:2" ht="15" customHeight="1" x14ac:dyDescent="0.25">
      <c r="A485" s="27" t="s">
        <v>421</v>
      </c>
      <c r="B485" s="26" t="str">
        <f>IFERROR(INDEX('Identity (30)'!$O$6:$O$46,MATCH('Applicant (20)'!$A40&amp;"-"&amp;4,'Identity (30)'!$N$6:$N$46,0)),"")</f>
        <v/>
      </c>
    </row>
    <row r="486" spans="1:2" ht="15" customHeight="1" x14ac:dyDescent="0.25">
      <c r="A486" s="27" t="s">
        <v>422</v>
      </c>
      <c r="B486" s="26" t="str">
        <f>IFERROR(INDEX('Related Person (40)'!$CO$6:$CO$26,MATCH('Applicant (20)'!$A40&amp;"-"&amp;1,'Related Person (40)'!$CN$6:$CN$26,0)),"")</f>
        <v/>
      </c>
    </row>
    <row r="487" spans="1:2" ht="15" customHeight="1" x14ac:dyDescent="0.25">
      <c r="A487" s="27" t="s">
        <v>423</v>
      </c>
      <c r="B487" s="26" t="str">
        <f>IFERROR(INDEX('Related Person (40)'!$CO$6:$CO$26,MATCH('Applicant (20)'!$A40&amp;"-"&amp;2,'Related Person (40)'!$CN$6:$CN$26,0)),"")</f>
        <v/>
      </c>
    </row>
    <row r="488" spans="1:2" ht="15" customHeight="1" x14ac:dyDescent="0.25">
      <c r="A488" s="27" t="s">
        <v>424</v>
      </c>
      <c r="B488" s="26" t="str">
        <f>IFERROR(INDEX('Related Person (40)'!$CO$6:$CO$26,MATCH('Applicant (20)'!$A40&amp;"-"&amp;3,'Related Person (40)'!$CN$6:$CN$26,0)),"")</f>
        <v/>
      </c>
    </row>
    <row r="489" spans="1:2" ht="15" customHeight="1" x14ac:dyDescent="0.25">
      <c r="A489" s="27" t="s">
        <v>425</v>
      </c>
      <c r="B489" s="26" t="str">
        <f>IFERROR(INDEX('Images (70)'!$L$6:$L$66,MATCH('Applicant (20)'!$A40&amp;"-"&amp;1,'Images (70)'!$K$6:$K$66,0)),"")</f>
        <v/>
      </c>
    </row>
    <row r="490" spans="1:2" ht="15" customHeight="1" x14ac:dyDescent="0.25">
      <c r="A490" s="27" t="s">
        <v>426</v>
      </c>
      <c r="B490" s="26" t="str">
        <f>IFERROR(INDEX('Images (70)'!$L$6:$L$66,MATCH('Applicant (20)'!$A40&amp;"-"&amp;2,'Images (70)'!$K$6:$K$66,0)),"")</f>
        <v/>
      </c>
    </row>
    <row r="491" spans="1:2" ht="15" customHeight="1" x14ac:dyDescent="0.25">
      <c r="A491" s="27" t="s">
        <v>427</v>
      </c>
      <c r="B491" s="26" t="str">
        <f>IFERROR(INDEX('Images (70)'!$L$6:$L$66,MATCH('Applicant (20)'!$A40&amp;"-"&amp;3,'Images (70)'!$K$6:$K$66,0)),"")</f>
        <v/>
      </c>
    </row>
    <row r="492" spans="1:2" ht="15" customHeight="1" x14ac:dyDescent="0.25">
      <c r="A492" s="27" t="s">
        <v>428</v>
      </c>
      <c r="B492" s="26" t="str">
        <f>IFERROR(INDEX('Images (70)'!$L$6:$L$66,MATCH('Applicant (20)'!$A40&amp;"-"&amp;4,'Images (70)'!$K$6:$K$66,0)),"")</f>
        <v/>
      </c>
    </row>
    <row r="493" spans="1:2" ht="15" customHeight="1" x14ac:dyDescent="0.25">
      <c r="A493" s="27" t="s">
        <v>429</v>
      </c>
      <c r="B493" s="26" t="str">
        <f>IFERROR(INDEX('Images (70)'!$L$6:$L$66,MATCH('Applicant (20)'!$A40&amp;"-"&amp;5,'Images (70)'!$K$6:$K$66,0)),"")</f>
        <v/>
      </c>
    </row>
    <row r="494" spans="1:2" ht="15" customHeight="1" x14ac:dyDescent="0.25">
      <c r="A494" s="27" t="s">
        <v>430</v>
      </c>
      <c r="B494" s="26" t="str">
        <f>IFERROR(INDEX('Images (70)'!$L$6:$L$66,MATCH('Applicant (20)'!$A40&amp;"-"&amp;6,'Images (70)'!$K$6:$K$66,0)),"")</f>
        <v/>
      </c>
    </row>
    <row r="495" spans="1:2" ht="15" customHeight="1" x14ac:dyDescent="0.25">
      <c r="A495" s="25" t="s">
        <v>465</v>
      </c>
      <c r="B495" s="26" t="str">
        <f>'Applicant (20)'!DS41</f>
        <v/>
      </c>
    </row>
    <row r="496" spans="1:2" ht="15" customHeight="1" x14ac:dyDescent="0.25">
      <c r="A496" s="27" t="s">
        <v>418</v>
      </c>
      <c r="B496" s="26" t="str">
        <f>IFERROR(INDEX('Identity (30)'!$O$6:$O$46,MATCH('Applicant (20)'!$A41&amp;"-"&amp;1,'Identity (30)'!$N$6:$N$46,0)),"")</f>
        <v/>
      </c>
    </row>
    <row r="497" spans="1:2" ht="15" customHeight="1" x14ac:dyDescent="0.25">
      <c r="A497" s="27" t="s">
        <v>419</v>
      </c>
      <c r="B497" s="26" t="str">
        <f>IFERROR(INDEX('Identity (30)'!$O$6:$O$46,MATCH('Applicant (20)'!$A41&amp;"-"&amp;2,'Identity (30)'!$N$6:$N$46,0)),"")</f>
        <v/>
      </c>
    </row>
    <row r="498" spans="1:2" ht="15" customHeight="1" x14ac:dyDescent="0.25">
      <c r="A498" s="27" t="s">
        <v>420</v>
      </c>
      <c r="B498" s="26" t="str">
        <f>IFERROR(INDEX('Identity (30)'!$O$6:$O$46,MATCH('Applicant (20)'!$A41&amp;"-"&amp;3,'Identity (30)'!$N$6:$N$46,0)),"")</f>
        <v/>
      </c>
    </row>
    <row r="499" spans="1:2" ht="15" customHeight="1" x14ac:dyDescent="0.25">
      <c r="A499" s="27" t="s">
        <v>421</v>
      </c>
      <c r="B499" s="26" t="str">
        <f>IFERROR(INDEX('Identity (30)'!$O$6:$O$46,MATCH('Applicant (20)'!$A41&amp;"-"&amp;4,'Identity (30)'!$N$6:$N$46,0)),"")</f>
        <v/>
      </c>
    </row>
    <row r="500" spans="1:2" ht="15" customHeight="1" x14ac:dyDescent="0.25">
      <c r="A500" s="27" t="s">
        <v>422</v>
      </c>
      <c r="B500" s="26" t="str">
        <f>IFERROR(INDEX('Related Person (40)'!$CO$6:$CO$26,MATCH('Applicant (20)'!$A41&amp;"-"&amp;1,'Related Person (40)'!$CN$6:$CN$26,0)),"")</f>
        <v/>
      </c>
    </row>
    <row r="501" spans="1:2" ht="15" customHeight="1" x14ac:dyDescent="0.25">
      <c r="A501" s="27" t="s">
        <v>423</v>
      </c>
      <c r="B501" s="26" t="str">
        <f>IFERROR(INDEX('Related Person (40)'!$CO$6:$CO$26,MATCH('Applicant (20)'!$A41&amp;"-"&amp;2,'Related Person (40)'!$CN$6:$CN$26,0)),"")</f>
        <v/>
      </c>
    </row>
    <row r="502" spans="1:2" ht="15" customHeight="1" x14ac:dyDescent="0.25">
      <c r="A502" s="27" t="s">
        <v>424</v>
      </c>
      <c r="B502" s="26" t="str">
        <f>IFERROR(INDEX('Related Person (40)'!$CO$6:$CO$26,MATCH('Applicant (20)'!$A41&amp;"-"&amp;3,'Related Person (40)'!$CN$6:$CN$26,0)),"")</f>
        <v/>
      </c>
    </row>
    <row r="503" spans="1:2" ht="15" customHeight="1" x14ac:dyDescent="0.25">
      <c r="A503" s="27" t="s">
        <v>425</v>
      </c>
      <c r="B503" s="26" t="str">
        <f>IFERROR(INDEX('Images (70)'!$L$6:$L$66,MATCH('Applicant (20)'!$A41&amp;"-"&amp;1,'Images (70)'!$K$6:$K$66,0)),"")</f>
        <v/>
      </c>
    </row>
    <row r="504" spans="1:2" ht="15" customHeight="1" x14ac:dyDescent="0.25">
      <c r="A504" s="27" t="s">
        <v>426</v>
      </c>
      <c r="B504" s="26" t="str">
        <f>IFERROR(INDEX('Images (70)'!$L$6:$L$66,MATCH('Applicant (20)'!$A41&amp;"-"&amp;2,'Images (70)'!$K$6:$K$66,0)),"")</f>
        <v/>
      </c>
    </row>
    <row r="505" spans="1:2" ht="15" customHeight="1" x14ac:dyDescent="0.25">
      <c r="A505" s="27" t="s">
        <v>427</v>
      </c>
      <c r="B505" s="26" t="str">
        <f>IFERROR(INDEX('Images (70)'!$L$6:$L$66,MATCH('Applicant (20)'!$A41&amp;"-"&amp;3,'Images (70)'!$K$6:$K$66,0)),"")</f>
        <v/>
      </c>
    </row>
    <row r="506" spans="1:2" ht="15" customHeight="1" x14ac:dyDescent="0.25">
      <c r="A506" s="27" t="s">
        <v>428</v>
      </c>
      <c r="B506" s="26" t="str">
        <f>IFERROR(INDEX('Images (70)'!$L$6:$L$66,MATCH('Applicant (20)'!$A41&amp;"-"&amp;4,'Images (70)'!$K$6:$K$66,0)),"")</f>
        <v/>
      </c>
    </row>
    <row r="507" spans="1:2" ht="15" customHeight="1" x14ac:dyDescent="0.25">
      <c r="A507" s="27" t="s">
        <v>429</v>
      </c>
      <c r="B507" s="26" t="str">
        <f>IFERROR(INDEX('Images (70)'!$L$6:$L$66,MATCH('Applicant (20)'!$A41&amp;"-"&amp;5,'Images (70)'!$K$6:$K$66,0)),"")</f>
        <v/>
      </c>
    </row>
    <row r="508" spans="1:2" ht="15" customHeight="1" x14ac:dyDescent="0.25">
      <c r="A508" s="27" t="s">
        <v>430</v>
      </c>
      <c r="B508" s="26" t="str">
        <f>IFERROR(INDEX('Images (70)'!$L$6:$L$66,MATCH('Applicant (20)'!$A41&amp;"-"&amp;6,'Images (70)'!$K$6:$K$66,0)),"")</f>
        <v/>
      </c>
    </row>
    <row r="509" spans="1:2" ht="15" customHeight="1" x14ac:dyDescent="0.25">
      <c r="A509" s="25" t="s">
        <v>466</v>
      </c>
      <c r="B509" s="26" t="str">
        <f>'Applicant (20)'!DS42</f>
        <v/>
      </c>
    </row>
    <row r="510" spans="1:2" ht="15" customHeight="1" x14ac:dyDescent="0.25">
      <c r="A510" s="27" t="s">
        <v>418</v>
      </c>
      <c r="B510" s="26" t="str">
        <f>IFERROR(INDEX('Identity (30)'!$O$6:$O$46,MATCH('Applicant (20)'!$A42&amp;"-"&amp;1,'Identity (30)'!$N$6:$N$46,0)),"")</f>
        <v/>
      </c>
    </row>
    <row r="511" spans="1:2" ht="15" customHeight="1" x14ac:dyDescent="0.25">
      <c r="A511" s="27" t="s">
        <v>419</v>
      </c>
      <c r="B511" s="26" t="str">
        <f>IFERROR(INDEX('Identity (30)'!$O$6:$O$46,MATCH('Applicant (20)'!$A42&amp;"-"&amp;2,'Identity (30)'!$N$6:$N$46,0)),"")</f>
        <v/>
      </c>
    </row>
    <row r="512" spans="1:2" ht="15" customHeight="1" x14ac:dyDescent="0.25">
      <c r="A512" s="27" t="s">
        <v>420</v>
      </c>
      <c r="B512" s="26" t="str">
        <f>IFERROR(INDEX('Identity (30)'!$O$6:$O$46,MATCH('Applicant (20)'!$A42&amp;"-"&amp;3,'Identity (30)'!$N$6:$N$46,0)),"")</f>
        <v/>
      </c>
    </row>
    <row r="513" spans="1:2" ht="15" customHeight="1" x14ac:dyDescent="0.25">
      <c r="A513" s="27" t="s">
        <v>421</v>
      </c>
      <c r="B513" s="26" t="str">
        <f>IFERROR(INDEX('Identity (30)'!$O$6:$O$46,MATCH('Applicant (20)'!$A42&amp;"-"&amp;4,'Identity (30)'!$N$6:$N$46,0)),"")</f>
        <v/>
      </c>
    </row>
    <row r="514" spans="1:2" ht="15" customHeight="1" x14ac:dyDescent="0.25">
      <c r="A514" s="27" t="s">
        <v>422</v>
      </c>
      <c r="B514" s="26" t="str">
        <f>IFERROR(INDEX('Related Person (40)'!$CO$6:$CO$26,MATCH('Applicant (20)'!$A42&amp;"-"&amp;1,'Related Person (40)'!$CN$6:$CN$26,0)),"")</f>
        <v/>
      </c>
    </row>
    <row r="515" spans="1:2" ht="15" customHeight="1" x14ac:dyDescent="0.25">
      <c r="A515" s="27" t="s">
        <v>423</v>
      </c>
      <c r="B515" s="26" t="str">
        <f>IFERROR(INDEX('Related Person (40)'!$CO$6:$CO$26,MATCH('Applicant (20)'!$A42&amp;"-"&amp;2,'Related Person (40)'!$CN$6:$CN$26,0)),"")</f>
        <v/>
      </c>
    </row>
    <row r="516" spans="1:2" ht="15" customHeight="1" x14ac:dyDescent="0.25">
      <c r="A516" s="27" t="s">
        <v>424</v>
      </c>
      <c r="B516" s="26" t="str">
        <f>IFERROR(INDEX('Related Person (40)'!$CO$6:$CO$26,MATCH('Applicant (20)'!$A42&amp;"-"&amp;3,'Related Person (40)'!$CN$6:$CN$26,0)),"")</f>
        <v/>
      </c>
    </row>
    <row r="517" spans="1:2" ht="15" customHeight="1" x14ac:dyDescent="0.25">
      <c r="A517" s="27" t="s">
        <v>425</v>
      </c>
      <c r="B517" s="26" t="str">
        <f>IFERROR(INDEX('Images (70)'!$L$6:$L$66,MATCH('Applicant (20)'!$A42&amp;"-"&amp;1,'Images (70)'!$K$6:$K$66,0)),"")</f>
        <v/>
      </c>
    </row>
    <row r="518" spans="1:2" ht="15" customHeight="1" x14ac:dyDescent="0.25">
      <c r="A518" s="27" t="s">
        <v>426</v>
      </c>
      <c r="B518" s="26" t="str">
        <f>IFERROR(INDEX('Images (70)'!$L$6:$L$66,MATCH('Applicant (20)'!$A42&amp;"-"&amp;2,'Images (70)'!$K$6:$K$66,0)),"")</f>
        <v/>
      </c>
    </row>
    <row r="519" spans="1:2" ht="15" customHeight="1" x14ac:dyDescent="0.25">
      <c r="A519" s="27" t="s">
        <v>427</v>
      </c>
      <c r="B519" s="26" t="str">
        <f>IFERROR(INDEX('Images (70)'!$L$6:$L$66,MATCH('Applicant (20)'!$A42&amp;"-"&amp;3,'Images (70)'!$K$6:$K$66,0)),"")</f>
        <v/>
      </c>
    </row>
    <row r="520" spans="1:2" ht="15" customHeight="1" x14ac:dyDescent="0.25">
      <c r="A520" s="27" t="s">
        <v>428</v>
      </c>
      <c r="B520" s="26" t="str">
        <f>IFERROR(INDEX('Images (70)'!$L$6:$L$66,MATCH('Applicant (20)'!$A42&amp;"-"&amp;4,'Images (70)'!$K$6:$K$66,0)),"")</f>
        <v/>
      </c>
    </row>
    <row r="521" spans="1:2" ht="15" customHeight="1" x14ac:dyDescent="0.25">
      <c r="A521" s="27" t="s">
        <v>429</v>
      </c>
      <c r="B521" s="26" t="str">
        <f>IFERROR(INDEX('Images (70)'!$L$6:$L$66,MATCH('Applicant (20)'!$A42&amp;"-"&amp;5,'Images (70)'!$K$6:$K$66,0)),"")</f>
        <v/>
      </c>
    </row>
    <row r="522" spans="1:2" ht="15" customHeight="1" x14ac:dyDescent="0.25">
      <c r="A522" s="27" t="s">
        <v>430</v>
      </c>
      <c r="B522" s="26" t="str">
        <f>IFERROR(INDEX('Images (70)'!$L$6:$L$66,MATCH('Applicant (20)'!$A42&amp;"-"&amp;6,'Images (70)'!$K$6:$K$66,0)),"")</f>
        <v/>
      </c>
    </row>
    <row r="523" spans="1:2" ht="15" customHeight="1" x14ac:dyDescent="0.25">
      <c r="A523" s="25" t="s">
        <v>467</v>
      </c>
      <c r="B523" s="26" t="str">
        <f>'Applicant (20)'!DS43</f>
        <v/>
      </c>
    </row>
    <row r="524" spans="1:2" ht="15" customHeight="1" x14ac:dyDescent="0.25">
      <c r="A524" s="27" t="s">
        <v>418</v>
      </c>
      <c r="B524" s="26" t="str">
        <f>IFERROR(INDEX('Identity (30)'!$O$6:$O$46,MATCH('Applicant (20)'!$A43&amp;"-"&amp;1,'Identity (30)'!$N$6:$N$46,0)),"")</f>
        <v/>
      </c>
    </row>
    <row r="525" spans="1:2" ht="15" customHeight="1" x14ac:dyDescent="0.25">
      <c r="A525" s="27" t="s">
        <v>419</v>
      </c>
      <c r="B525" s="26" t="str">
        <f>IFERROR(INDEX('Identity (30)'!$O$6:$O$46,MATCH('Applicant (20)'!$A43&amp;"-"&amp;2,'Identity (30)'!$N$6:$N$46,0)),"")</f>
        <v/>
      </c>
    </row>
    <row r="526" spans="1:2" ht="15" customHeight="1" x14ac:dyDescent="0.25">
      <c r="A526" s="27" t="s">
        <v>420</v>
      </c>
      <c r="B526" s="26" t="str">
        <f>IFERROR(INDEX('Identity (30)'!$O$6:$O$46,MATCH('Applicant (20)'!$A43&amp;"-"&amp;3,'Identity (30)'!$N$6:$N$46,0)),"")</f>
        <v/>
      </c>
    </row>
    <row r="527" spans="1:2" ht="15" customHeight="1" x14ac:dyDescent="0.25">
      <c r="A527" s="27" t="s">
        <v>421</v>
      </c>
      <c r="B527" s="26" t="str">
        <f>IFERROR(INDEX('Identity (30)'!$O$6:$O$46,MATCH('Applicant (20)'!$A43&amp;"-"&amp;4,'Identity (30)'!$N$6:$N$46,0)),"")</f>
        <v/>
      </c>
    </row>
    <row r="528" spans="1:2" ht="15" customHeight="1" x14ac:dyDescent="0.25">
      <c r="A528" s="27" t="s">
        <v>422</v>
      </c>
      <c r="B528" s="26" t="str">
        <f>IFERROR(INDEX('Related Person (40)'!$CO$6:$CO$26,MATCH('Applicant (20)'!$A43&amp;"-"&amp;1,'Related Person (40)'!$CN$6:$CN$26,0)),"")</f>
        <v/>
      </c>
    </row>
    <row r="529" spans="1:2" ht="15" customHeight="1" x14ac:dyDescent="0.25">
      <c r="A529" s="27" t="s">
        <v>423</v>
      </c>
      <c r="B529" s="26" t="str">
        <f>IFERROR(INDEX('Related Person (40)'!$CO$6:$CO$26,MATCH('Applicant (20)'!$A43&amp;"-"&amp;2,'Related Person (40)'!$CN$6:$CN$26,0)),"")</f>
        <v/>
      </c>
    </row>
    <row r="530" spans="1:2" ht="15" customHeight="1" x14ac:dyDescent="0.25">
      <c r="A530" s="27" t="s">
        <v>424</v>
      </c>
      <c r="B530" s="26" t="str">
        <f>IFERROR(INDEX('Related Person (40)'!$CO$6:$CO$26,MATCH('Applicant (20)'!$A43&amp;"-"&amp;3,'Related Person (40)'!$CN$6:$CN$26,0)),"")</f>
        <v/>
      </c>
    </row>
    <row r="531" spans="1:2" ht="15" customHeight="1" x14ac:dyDescent="0.25">
      <c r="A531" s="27" t="s">
        <v>425</v>
      </c>
      <c r="B531" s="26" t="str">
        <f>IFERROR(INDEX('Images (70)'!$L$6:$L$66,MATCH('Applicant (20)'!$A43&amp;"-"&amp;1,'Images (70)'!$K$6:$K$66,0)),"")</f>
        <v/>
      </c>
    </row>
    <row r="532" spans="1:2" ht="15" customHeight="1" x14ac:dyDescent="0.25">
      <c r="A532" s="27" t="s">
        <v>426</v>
      </c>
      <c r="B532" s="26" t="str">
        <f>IFERROR(INDEX('Images (70)'!$L$6:$L$66,MATCH('Applicant (20)'!$A43&amp;"-"&amp;2,'Images (70)'!$K$6:$K$66,0)),"")</f>
        <v/>
      </c>
    </row>
    <row r="533" spans="1:2" ht="15" customHeight="1" x14ac:dyDescent="0.25">
      <c r="A533" s="27" t="s">
        <v>427</v>
      </c>
      <c r="B533" s="26" t="str">
        <f>IFERROR(INDEX('Images (70)'!$L$6:$L$66,MATCH('Applicant (20)'!$A43&amp;"-"&amp;3,'Images (70)'!$K$6:$K$66,0)),"")</f>
        <v/>
      </c>
    </row>
    <row r="534" spans="1:2" ht="15" customHeight="1" x14ac:dyDescent="0.25">
      <c r="A534" s="27" t="s">
        <v>428</v>
      </c>
      <c r="B534" s="26" t="str">
        <f>IFERROR(INDEX('Images (70)'!$L$6:$L$66,MATCH('Applicant (20)'!$A43&amp;"-"&amp;4,'Images (70)'!$K$6:$K$66,0)),"")</f>
        <v/>
      </c>
    </row>
    <row r="535" spans="1:2" ht="15" customHeight="1" x14ac:dyDescent="0.25">
      <c r="A535" s="27" t="s">
        <v>429</v>
      </c>
      <c r="B535" s="26" t="str">
        <f>IFERROR(INDEX('Images (70)'!$L$6:$L$66,MATCH('Applicant (20)'!$A43&amp;"-"&amp;5,'Images (70)'!$K$6:$K$66,0)),"")</f>
        <v/>
      </c>
    </row>
    <row r="536" spans="1:2" ht="15" customHeight="1" x14ac:dyDescent="0.25">
      <c r="A536" s="27" t="s">
        <v>430</v>
      </c>
      <c r="B536" s="26" t="str">
        <f>IFERROR(INDEX('Images (70)'!$L$6:$L$66,MATCH('Applicant (20)'!$A43&amp;"-"&amp;6,'Images (70)'!$K$6:$K$66,0)),"")</f>
        <v/>
      </c>
    </row>
    <row r="537" spans="1:2" ht="15" customHeight="1" x14ac:dyDescent="0.25">
      <c r="A537" s="25" t="s">
        <v>468</v>
      </c>
      <c r="B537" s="26" t="str">
        <f>'Applicant (20)'!DS44</f>
        <v/>
      </c>
    </row>
    <row r="538" spans="1:2" ht="15" customHeight="1" x14ac:dyDescent="0.25">
      <c r="A538" s="27" t="s">
        <v>418</v>
      </c>
      <c r="B538" s="26" t="str">
        <f>IFERROR(INDEX('Identity (30)'!$O$6:$O$46,MATCH('Applicant (20)'!$A44&amp;"-"&amp;1,'Identity (30)'!$N$6:$N$46,0)),"")</f>
        <v/>
      </c>
    </row>
    <row r="539" spans="1:2" ht="15" customHeight="1" x14ac:dyDescent="0.25">
      <c r="A539" s="27" t="s">
        <v>419</v>
      </c>
      <c r="B539" s="26" t="str">
        <f>IFERROR(INDEX('Identity (30)'!$O$6:$O$46,MATCH('Applicant (20)'!$A44&amp;"-"&amp;2,'Identity (30)'!$N$6:$N$46,0)),"")</f>
        <v/>
      </c>
    </row>
    <row r="540" spans="1:2" ht="15" customHeight="1" x14ac:dyDescent="0.25">
      <c r="A540" s="27" t="s">
        <v>420</v>
      </c>
      <c r="B540" s="26" t="str">
        <f>IFERROR(INDEX('Identity (30)'!$O$6:$O$46,MATCH('Applicant (20)'!$A44&amp;"-"&amp;3,'Identity (30)'!$N$6:$N$46,0)),"")</f>
        <v/>
      </c>
    </row>
    <row r="541" spans="1:2" ht="15" customHeight="1" x14ac:dyDescent="0.25">
      <c r="A541" s="27" t="s">
        <v>421</v>
      </c>
      <c r="B541" s="26" t="str">
        <f>IFERROR(INDEX('Identity (30)'!$O$6:$O$46,MATCH('Applicant (20)'!$A44&amp;"-"&amp;4,'Identity (30)'!$N$6:$N$46,0)),"")</f>
        <v/>
      </c>
    </row>
    <row r="542" spans="1:2" ht="15" customHeight="1" x14ac:dyDescent="0.25">
      <c r="A542" s="27" t="s">
        <v>422</v>
      </c>
      <c r="B542" s="26" t="str">
        <f>IFERROR(INDEX('Related Person (40)'!$CO$6:$CO$26,MATCH('Applicant (20)'!$A44&amp;"-"&amp;1,'Related Person (40)'!$CN$6:$CN$26,0)),"")</f>
        <v/>
      </c>
    </row>
    <row r="543" spans="1:2" ht="15" customHeight="1" x14ac:dyDescent="0.25">
      <c r="A543" s="27" t="s">
        <v>423</v>
      </c>
      <c r="B543" s="26" t="str">
        <f>IFERROR(INDEX('Related Person (40)'!$CO$6:$CO$26,MATCH('Applicant (20)'!$A44&amp;"-"&amp;2,'Related Person (40)'!$CN$6:$CN$26,0)),"")</f>
        <v/>
      </c>
    </row>
    <row r="544" spans="1:2" ht="15" customHeight="1" x14ac:dyDescent="0.25">
      <c r="A544" s="27" t="s">
        <v>424</v>
      </c>
      <c r="B544" s="26" t="str">
        <f>IFERROR(INDEX('Related Person (40)'!$CO$6:$CO$26,MATCH('Applicant (20)'!$A44&amp;"-"&amp;3,'Related Person (40)'!$CN$6:$CN$26,0)),"")</f>
        <v/>
      </c>
    </row>
    <row r="545" spans="1:2" ht="15" customHeight="1" x14ac:dyDescent="0.25">
      <c r="A545" s="27" t="s">
        <v>425</v>
      </c>
      <c r="B545" s="26" t="str">
        <f>IFERROR(INDEX('Images (70)'!$L$6:$L$66,MATCH('Applicant (20)'!$A44&amp;"-"&amp;1,'Images (70)'!$K$6:$K$66,0)),"")</f>
        <v/>
      </c>
    </row>
    <row r="546" spans="1:2" ht="15" customHeight="1" x14ac:dyDescent="0.25">
      <c r="A546" s="27" t="s">
        <v>426</v>
      </c>
      <c r="B546" s="26" t="str">
        <f>IFERROR(INDEX('Images (70)'!$L$6:$L$66,MATCH('Applicant (20)'!$A44&amp;"-"&amp;2,'Images (70)'!$K$6:$K$66,0)),"")</f>
        <v/>
      </c>
    </row>
    <row r="547" spans="1:2" ht="15" customHeight="1" x14ac:dyDescent="0.25">
      <c r="A547" s="27" t="s">
        <v>427</v>
      </c>
      <c r="B547" s="26" t="str">
        <f>IFERROR(INDEX('Images (70)'!$L$6:$L$66,MATCH('Applicant (20)'!$A44&amp;"-"&amp;3,'Images (70)'!$K$6:$K$66,0)),"")</f>
        <v/>
      </c>
    </row>
    <row r="548" spans="1:2" ht="15" customHeight="1" x14ac:dyDescent="0.25">
      <c r="A548" s="27" t="s">
        <v>428</v>
      </c>
      <c r="B548" s="26" t="str">
        <f>IFERROR(INDEX('Images (70)'!$L$6:$L$66,MATCH('Applicant (20)'!$A44&amp;"-"&amp;4,'Images (70)'!$K$6:$K$66,0)),"")</f>
        <v/>
      </c>
    </row>
    <row r="549" spans="1:2" ht="15" customHeight="1" x14ac:dyDescent="0.25">
      <c r="A549" s="27" t="s">
        <v>429</v>
      </c>
      <c r="B549" s="26" t="str">
        <f>IFERROR(INDEX('Images (70)'!$L$6:$L$66,MATCH('Applicant (20)'!$A44&amp;"-"&amp;5,'Images (70)'!$K$6:$K$66,0)),"")</f>
        <v/>
      </c>
    </row>
    <row r="550" spans="1:2" ht="15" customHeight="1" x14ac:dyDescent="0.25">
      <c r="A550" s="27" t="s">
        <v>430</v>
      </c>
      <c r="B550" s="26" t="str">
        <f>IFERROR(INDEX('Images (70)'!$L$6:$L$66,MATCH('Applicant (20)'!$A44&amp;"-"&amp;6,'Images (70)'!$K$6:$K$66,0)),"")</f>
        <v/>
      </c>
    </row>
    <row r="551" spans="1:2" ht="15" customHeight="1" x14ac:dyDescent="0.25">
      <c r="A551" s="25" t="s">
        <v>469</v>
      </c>
      <c r="B551" s="26" t="str">
        <f>'Applicant (20)'!DS45</f>
        <v/>
      </c>
    </row>
    <row r="552" spans="1:2" ht="15" customHeight="1" x14ac:dyDescent="0.25">
      <c r="A552" s="27" t="s">
        <v>418</v>
      </c>
      <c r="B552" s="26" t="str">
        <f>IFERROR(INDEX('Identity (30)'!$O$6:$O$46,MATCH('Applicant (20)'!$A45&amp;"-"&amp;1,'Identity (30)'!$N$6:$N$46,0)),"")</f>
        <v/>
      </c>
    </row>
    <row r="553" spans="1:2" ht="15" customHeight="1" x14ac:dyDescent="0.25">
      <c r="A553" s="27" t="s">
        <v>419</v>
      </c>
      <c r="B553" s="26" t="str">
        <f>IFERROR(INDEX('Identity (30)'!$O$6:$O$46,MATCH('Applicant (20)'!$A45&amp;"-"&amp;2,'Identity (30)'!$N$6:$N$46,0)),"")</f>
        <v/>
      </c>
    </row>
    <row r="554" spans="1:2" ht="15" customHeight="1" x14ac:dyDescent="0.25">
      <c r="A554" s="27" t="s">
        <v>420</v>
      </c>
      <c r="B554" s="26" t="str">
        <f>IFERROR(INDEX('Identity (30)'!$O$6:$O$46,MATCH('Applicant (20)'!$A45&amp;"-"&amp;3,'Identity (30)'!$N$6:$N$46,0)),"")</f>
        <v/>
      </c>
    </row>
    <row r="555" spans="1:2" ht="15" customHeight="1" x14ac:dyDescent="0.25">
      <c r="A555" s="27" t="s">
        <v>421</v>
      </c>
      <c r="B555" s="26" t="str">
        <f>IFERROR(INDEX('Identity (30)'!$O$6:$O$46,MATCH('Applicant (20)'!$A45&amp;"-"&amp;4,'Identity (30)'!$N$6:$N$46,0)),"")</f>
        <v/>
      </c>
    </row>
    <row r="556" spans="1:2" ht="15" customHeight="1" x14ac:dyDescent="0.25">
      <c r="A556" s="27" t="s">
        <v>422</v>
      </c>
      <c r="B556" s="26" t="str">
        <f>IFERROR(INDEX('Related Person (40)'!$CO$6:$CO$26,MATCH('Applicant (20)'!$A45&amp;"-"&amp;1,'Related Person (40)'!$CN$6:$CN$26,0)),"")</f>
        <v/>
      </c>
    </row>
    <row r="557" spans="1:2" ht="15" customHeight="1" x14ac:dyDescent="0.25">
      <c r="A557" s="27" t="s">
        <v>423</v>
      </c>
      <c r="B557" s="26" t="str">
        <f>IFERROR(INDEX('Related Person (40)'!$CO$6:$CO$26,MATCH('Applicant (20)'!$A45&amp;"-"&amp;2,'Related Person (40)'!$CN$6:$CN$26,0)),"")</f>
        <v/>
      </c>
    </row>
    <row r="558" spans="1:2" ht="15" customHeight="1" x14ac:dyDescent="0.25">
      <c r="A558" s="27" t="s">
        <v>424</v>
      </c>
      <c r="B558" s="26" t="str">
        <f>IFERROR(INDEX('Related Person (40)'!$CO$6:$CO$26,MATCH('Applicant (20)'!$A45&amp;"-"&amp;3,'Related Person (40)'!$CN$6:$CN$26,0)),"")</f>
        <v/>
      </c>
    </row>
    <row r="559" spans="1:2" ht="15" customHeight="1" x14ac:dyDescent="0.25">
      <c r="A559" s="27" t="s">
        <v>425</v>
      </c>
      <c r="B559" s="26" t="str">
        <f>IFERROR(INDEX('Images (70)'!$L$6:$L$66,MATCH('Applicant (20)'!$A45&amp;"-"&amp;1,'Images (70)'!$K$6:$K$66,0)),"")</f>
        <v/>
      </c>
    </row>
    <row r="560" spans="1:2" ht="15" customHeight="1" x14ac:dyDescent="0.25">
      <c r="A560" s="27" t="s">
        <v>426</v>
      </c>
      <c r="B560" s="26" t="str">
        <f>IFERROR(INDEX('Images (70)'!$L$6:$L$66,MATCH('Applicant (20)'!$A45&amp;"-"&amp;2,'Images (70)'!$K$6:$K$66,0)),"")</f>
        <v/>
      </c>
    </row>
    <row r="561" spans="1:2" ht="15" customHeight="1" x14ac:dyDescent="0.25">
      <c r="A561" s="27" t="s">
        <v>427</v>
      </c>
      <c r="B561" s="26" t="str">
        <f>IFERROR(INDEX('Images (70)'!$L$6:$L$66,MATCH('Applicant (20)'!$A45&amp;"-"&amp;3,'Images (70)'!$K$6:$K$66,0)),"")</f>
        <v/>
      </c>
    </row>
    <row r="562" spans="1:2" ht="15" customHeight="1" x14ac:dyDescent="0.25">
      <c r="A562" s="27" t="s">
        <v>428</v>
      </c>
      <c r="B562" s="26" t="str">
        <f>IFERROR(INDEX('Images (70)'!$L$6:$L$66,MATCH('Applicant (20)'!$A45&amp;"-"&amp;4,'Images (70)'!$K$6:$K$66,0)),"")</f>
        <v/>
      </c>
    </row>
    <row r="563" spans="1:2" ht="15" customHeight="1" x14ac:dyDescent="0.25">
      <c r="A563" s="27" t="s">
        <v>429</v>
      </c>
      <c r="B563" s="26" t="str">
        <f>IFERROR(INDEX('Images (70)'!$L$6:$L$66,MATCH('Applicant (20)'!$A45&amp;"-"&amp;5,'Images (70)'!$K$6:$K$66,0)),"")</f>
        <v/>
      </c>
    </row>
    <row r="564" spans="1:2" ht="15" customHeight="1" x14ac:dyDescent="0.25">
      <c r="A564" s="27" t="s">
        <v>430</v>
      </c>
      <c r="B564" s="26" t="str">
        <f>IFERROR(INDEX('Images (70)'!$L$6:$L$66,MATCH('Applicant (20)'!$A45&amp;"-"&amp;6,'Images (70)'!$K$6:$K$66,0)),"")</f>
        <v/>
      </c>
    </row>
    <row r="565" spans="1:2" ht="15" customHeight="1" x14ac:dyDescent="0.25">
      <c r="A565" s="25" t="s">
        <v>470</v>
      </c>
      <c r="B565" s="26" t="str">
        <f>'Applicant (20)'!DS46</f>
        <v/>
      </c>
    </row>
    <row r="566" spans="1:2" ht="15" customHeight="1" x14ac:dyDescent="0.25">
      <c r="A566" s="27" t="s">
        <v>418</v>
      </c>
      <c r="B566" s="26" t="str">
        <f>IFERROR(INDEX('Identity (30)'!$O$6:$O$46,MATCH('Applicant (20)'!$A46&amp;"-"&amp;1,'Identity (30)'!$N$6:$N$46,0)),"")</f>
        <v/>
      </c>
    </row>
    <row r="567" spans="1:2" ht="15" customHeight="1" x14ac:dyDescent="0.25">
      <c r="A567" s="27" t="s">
        <v>419</v>
      </c>
      <c r="B567" s="26" t="str">
        <f>IFERROR(INDEX('Identity (30)'!$O$6:$O$46,MATCH('Applicant (20)'!$A46&amp;"-"&amp;2,'Identity (30)'!$N$6:$N$46,0)),"")</f>
        <v/>
      </c>
    </row>
    <row r="568" spans="1:2" ht="15" customHeight="1" x14ac:dyDescent="0.25">
      <c r="A568" s="27" t="s">
        <v>420</v>
      </c>
      <c r="B568" s="26" t="str">
        <f>IFERROR(INDEX('Identity (30)'!$O$6:$O$46,MATCH('Applicant (20)'!$A46&amp;"-"&amp;3,'Identity (30)'!$N$6:$N$46,0)),"")</f>
        <v/>
      </c>
    </row>
    <row r="569" spans="1:2" ht="15" customHeight="1" x14ac:dyDescent="0.25">
      <c r="A569" s="27" t="s">
        <v>421</v>
      </c>
      <c r="B569" s="26" t="str">
        <f>IFERROR(INDEX('Identity (30)'!$O$6:$O$46,MATCH('Applicant (20)'!$A46&amp;"-"&amp;4,'Identity (30)'!$N$6:$N$46,0)),"")</f>
        <v/>
      </c>
    </row>
    <row r="570" spans="1:2" ht="15" customHeight="1" x14ac:dyDescent="0.25">
      <c r="A570" s="27" t="s">
        <v>422</v>
      </c>
      <c r="B570" s="26" t="str">
        <f>IFERROR(INDEX('Related Person (40)'!$CO$6:$CO$26,MATCH('Applicant (20)'!$A46&amp;"-"&amp;1,'Related Person (40)'!$CN$6:$CN$26,0)),"")</f>
        <v/>
      </c>
    </row>
    <row r="571" spans="1:2" ht="15" customHeight="1" x14ac:dyDescent="0.25">
      <c r="A571" s="27" t="s">
        <v>423</v>
      </c>
      <c r="B571" s="26" t="str">
        <f>IFERROR(INDEX('Related Person (40)'!$CO$6:$CO$26,MATCH('Applicant (20)'!$A46&amp;"-"&amp;2,'Related Person (40)'!$CN$6:$CN$26,0)),"")</f>
        <v/>
      </c>
    </row>
    <row r="572" spans="1:2" ht="15" customHeight="1" x14ac:dyDescent="0.25">
      <c r="A572" s="27" t="s">
        <v>424</v>
      </c>
      <c r="B572" s="26" t="str">
        <f>IFERROR(INDEX('Related Person (40)'!$CO$6:$CO$26,MATCH('Applicant (20)'!$A46&amp;"-"&amp;3,'Related Person (40)'!$CN$6:$CN$26,0)),"")</f>
        <v/>
      </c>
    </row>
    <row r="573" spans="1:2" ht="15" customHeight="1" x14ac:dyDescent="0.25">
      <c r="A573" s="27" t="s">
        <v>425</v>
      </c>
      <c r="B573" s="26" t="str">
        <f>IFERROR(INDEX('Images (70)'!$L$6:$L$66,MATCH('Applicant (20)'!$A46&amp;"-"&amp;1,'Images (70)'!$K$6:$K$66,0)),"")</f>
        <v/>
      </c>
    </row>
    <row r="574" spans="1:2" ht="15" customHeight="1" x14ac:dyDescent="0.25">
      <c r="A574" s="27" t="s">
        <v>426</v>
      </c>
      <c r="B574" s="26" t="str">
        <f>IFERROR(INDEX('Images (70)'!$L$6:$L$66,MATCH('Applicant (20)'!$A46&amp;"-"&amp;2,'Images (70)'!$K$6:$K$66,0)),"")</f>
        <v/>
      </c>
    </row>
    <row r="575" spans="1:2" ht="15" customHeight="1" x14ac:dyDescent="0.25">
      <c r="A575" s="27" t="s">
        <v>427</v>
      </c>
      <c r="B575" s="26" t="str">
        <f>IFERROR(INDEX('Images (70)'!$L$6:$L$66,MATCH('Applicant (20)'!$A46&amp;"-"&amp;3,'Images (70)'!$K$6:$K$66,0)),"")</f>
        <v/>
      </c>
    </row>
    <row r="576" spans="1:2" ht="15" customHeight="1" x14ac:dyDescent="0.25">
      <c r="A576" s="27" t="s">
        <v>428</v>
      </c>
      <c r="B576" s="26" t="str">
        <f>IFERROR(INDEX('Images (70)'!$L$6:$L$66,MATCH('Applicant (20)'!$A46&amp;"-"&amp;4,'Images (70)'!$K$6:$K$66,0)),"")</f>
        <v/>
      </c>
    </row>
    <row r="577" spans="1:2" ht="15" customHeight="1" x14ac:dyDescent="0.25">
      <c r="A577" s="27" t="s">
        <v>429</v>
      </c>
      <c r="B577" s="26" t="str">
        <f>IFERROR(INDEX('Images (70)'!$L$6:$L$66,MATCH('Applicant (20)'!$A46&amp;"-"&amp;5,'Images (70)'!$K$6:$K$66,0)),"")</f>
        <v/>
      </c>
    </row>
    <row r="578" spans="1:2" ht="15" customHeight="1" x14ac:dyDescent="0.25">
      <c r="A578" s="27" t="s">
        <v>430</v>
      </c>
      <c r="B578" s="26" t="str">
        <f>IFERROR(INDEX('Images (70)'!$L$6:$L$66,MATCH('Applicant (20)'!$A46&amp;"-"&amp;6,'Images (70)'!$K$6:$K$66,0)),"")</f>
        <v/>
      </c>
    </row>
    <row r="580" spans="1:2" ht="15" customHeight="1" x14ac:dyDescent="0.25">
      <c r="A580" s="38" t="s">
        <v>471</v>
      </c>
      <c r="B580" s="38"/>
    </row>
  </sheetData>
  <mergeCells count="2">
    <mergeCell ref="A1:C1"/>
    <mergeCell ref="A580:B580"/>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D252"/>
  <sheetViews>
    <sheetView showGridLines="0" topLeftCell="Z1" zoomScaleNormal="100" workbookViewId="0">
      <pane ySplit="3" topLeftCell="A4" activePane="bottomLeft" state="frozen"/>
      <selection pane="bottomLeft" sqref="A1:L1"/>
    </sheetView>
  </sheetViews>
  <sheetFormatPr defaultColWidth="8.7109375" defaultRowHeight="15" x14ac:dyDescent="0.25"/>
  <cols>
    <col min="1" max="1" width="8" customWidth="1"/>
    <col min="2" max="2" width="42" customWidth="1"/>
    <col min="4" max="4" width="8" customWidth="1"/>
    <col min="5" max="5" width="42" customWidth="1"/>
    <col min="7" max="7" width="8" customWidth="1"/>
    <col min="8" max="8" width="42" customWidth="1"/>
    <col min="10" max="10" width="8" customWidth="1"/>
    <col min="11" max="11" width="42" customWidth="1"/>
    <col min="13" max="13" width="8" customWidth="1"/>
    <col min="14" max="14" width="42" customWidth="1"/>
    <col min="16" max="16" width="8" customWidth="1"/>
    <col min="17" max="17" width="42" customWidth="1"/>
    <col min="19" max="19" width="8" customWidth="1"/>
    <col min="20" max="20" width="42" customWidth="1"/>
    <col min="22" max="22" width="8" customWidth="1"/>
    <col min="23" max="23" width="42" customWidth="1"/>
    <col min="25" max="25" width="8" customWidth="1"/>
    <col min="26" max="26" width="42" customWidth="1"/>
    <col min="28" max="28" width="8" customWidth="1"/>
    <col min="29" max="29" width="42" customWidth="1"/>
    <col min="31" max="31" width="8" customWidth="1"/>
    <col min="32" max="32" width="42" customWidth="1"/>
    <col min="34" max="34" width="8" customWidth="1"/>
    <col min="35" max="35" width="42" customWidth="1"/>
    <col min="37" max="37" width="8" customWidth="1"/>
    <col min="38" max="38" width="42" customWidth="1"/>
    <col min="40" max="40" width="8" customWidth="1"/>
    <col min="41" max="41" width="42" customWidth="1"/>
    <col min="43" max="43" width="8" customWidth="1"/>
    <col min="44" max="44" width="42" customWidth="1"/>
    <col min="46" max="46" width="8" customWidth="1"/>
    <col min="47" max="47" width="42" customWidth="1"/>
    <col min="49" max="49" width="8" customWidth="1"/>
    <col min="50" max="50" width="42" customWidth="1"/>
    <col min="52" max="52" width="8" customWidth="1"/>
    <col min="53" max="53" width="42" customWidth="1"/>
    <col min="55" max="55" width="8" customWidth="1"/>
    <col min="56" max="56" width="30" customWidth="1"/>
  </cols>
  <sheetData>
    <row r="1" spans="1:56" ht="21.75" customHeight="1" x14ac:dyDescent="0.25">
      <c r="A1" s="32" t="s">
        <v>472</v>
      </c>
      <c r="B1" s="32"/>
      <c r="C1" s="32"/>
      <c r="D1" s="32"/>
      <c r="E1" s="32"/>
      <c r="F1" s="32"/>
      <c r="G1" s="32"/>
      <c r="H1" s="32"/>
      <c r="I1" s="32"/>
      <c r="J1" s="32"/>
      <c r="K1" s="32"/>
      <c r="L1" s="32"/>
    </row>
    <row r="2" spans="1:56" ht="15" customHeight="1" x14ac:dyDescent="0.25">
      <c r="A2" s="28" t="s">
        <v>473</v>
      </c>
      <c r="D2" s="28" t="s">
        <v>474</v>
      </c>
      <c r="G2" s="28" t="s">
        <v>475</v>
      </c>
      <c r="J2" s="28" t="s">
        <v>476</v>
      </c>
      <c r="M2" s="28" t="s">
        <v>477</v>
      </c>
      <c r="P2" s="28" t="s">
        <v>478</v>
      </c>
      <c r="S2" s="28" t="s">
        <v>479</v>
      </c>
      <c r="V2" s="28" t="s">
        <v>480</v>
      </c>
      <c r="Y2" s="28" t="s">
        <v>481</v>
      </c>
      <c r="AB2" s="28" t="s">
        <v>482</v>
      </c>
      <c r="AE2" s="28" t="s">
        <v>483</v>
      </c>
      <c r="AH2" s="28" t="s">
        <v>484</v>
      </c>
      <c r="AK2" s="28" t="s">
        <v>485</v>
      </c>
      <c r="AN2" s="28" t="s">
        <v>486</v>
      </c>
      <c r="AQ2" s="28" t="s">
        <v>487</v>
      </c>
      <c r="AT2" s="28" t="s">
        <v>488</v>
      </c>
      <c r="AW2" s="28" t="s">
        <v>489</v>
      </c>
      <c r="AZ2" s="28" t="s">
        <v>490</v>
      </c>
      <c r="BC2" s="28" t="s">
        <v>491</v>
      </c>
    </row>
    <row r="3" spans="1:56" ht="15" customHeight="1" x14ac:dyDescent="0.25">
      <c r="A3" s="29" t="s">
        <v>492</v>
      </c>
      <c r="B3" s="29" t="s">
        <v>493</v>
      </c>
      <c r="D3" s="29" t="s">
        <v>492</v>
      </c>
      <c r="E3" s="29" t="s">
        <v>493</v>
      </c>
      <c r="G3" s="29" t="s">
        <v>492</v>
      </c>
      <c r="H3" s="29" t="s">
        <v>493</v>
      </c>
      <c r="J3" s="29" t="s">
        <v>492</v>
      </c>
      <c r="K3" s="29" t="s">
        <v>493</v>
      </c>
      <c r="M3" s="29" t="s">
        <v>492</v>
      </c>
      <c r="N3" s="29" t="s">
        <v>493</v>
      </c>
      <c r="P3" s="29" t="s">
        <v>492</v>
      </c>
      <c r="Q3" s="29" t="s">
        <v>493</v>
      </c>
      <c r="S3" s="29" t="s">
        <v>492</v>
      </c>
      <c r="T3" s="29" t="s">
        <v>493</v>
      </c>
      <c r="V3" s="29" t="s">
        <v>492</v>
      </c>
      <c r="W3" s="29" t="s">
        <v>493</v>
      </c>
      <c r="Y3" s="29" t="s">
        <v>492</v>
      </c>
      <c r="Z3" s="29" t="s">
        <v>493</v>
      </c>
      <c r="AB3" s="29" t="s">
        <v>492</v>
      </c>
      <c r="AC3" s="29" t="s">
        <v>493</v>
      </c>
      <c r="AE3" s="29" t="s">
        <v>492</v>
      </c>
      <c r="AF3" s="29" t="s">
        <v>493</v>
      </c>
      <c r="AH3" s="29" t="s">
        <v>492</v>
      </c>
      <c r="AI3" s="29" t="s">
        <v>493</v>
      </c>
      <c r="AK3" s="29" t="s">
        <v>492</v>
      </c>
      <c r="AL3" s="29" t="s">
        <v>493</v>
      </c>
      <c r="AN3" s="29" t="s">
        <v>492</v>
      </c>
      <c r="AO3" s="29" t="s">
        <v>493</v>
      </c>
      <c r="AQ3" s="29" t="s">
        <v>492</v>
      </c>
      <c r="AR3" s="29" t="s">
        <v>493</v>
      </c>
      <c r="AT3" s="29" t="s">
        <v>492</v>
      </c>
      <c r="AU3" s="29" t="s">
        <v>493</v>
      </c>
      <c r="AW3" s="29" t="s">
        <v>492</v>
      </c>
      <c r="AX3" s="29" t="s">
        <v>493</v>
      </c>
      <c r="AZ3" s="29" t="s">
        <v>492</v>
      </c>
      <c r="BA3" s="29" t="s">
        <v>493</v>
      </c>
      <c r="BC3" s="29" t="s">
        <v>492</v>
      </c>
      <c r="BD3" s="29" t="s">
        <v>493</v>
      </c>
    </row>
    <row r="4" spans="1:56" ht="15" customHeight="1" x14ac:dyDescent="0.25">
      <c r="A4" s="30" t="s">
        <v>209</v>
      </c>
      <c r="B4" s="31" t="s">
        <v>494</v>
      </c>
      <c r="D4" s="30" t="s">
        <v>268</v>
      </c>
      <c r="E4" s="31" t="s">
        <v>495</v>
      </c>
      <c r="G4" s="30" t="s">
        <v>62</v>
      </c>
      <c r="H4" s="31" t="s">
        <v>496</v>
      </c>
      <c r="J4" s="30" t="s">
        <v>62</v>
      </c>
      <c r="K4" s="31" t="s">
        <v>497</v>
      </c>
      <c r="M4" s="30" t="s">
        <v>62</v>
      </c>
      <c r="N4" s="31" t="s">
        <v>498</v>
      </c>
      <c r="P4" s="30" t="s">
        <v>62</v>
      </c>
      <c r="Q4" s="31" t="s">
        <v>499</v>
      </c>
      <c r="S4" s="30" t="s">
        <v>500</v>
      </c>
      <c r="T4" s="31" t="s">
        <v>501</v>
      </c>
      <c r="V4" s="30" t="s">
        <v>62</v>
      </c>
      <c r="W4" s="31" t="s">
        <v>502</v>
      </c>
      <c r="Y4" s="30" t="s">
        <v>62</v>
      </c>
      <c r="Z4" s="31" t="s">
        <v>502</v>
      </c>
      <c r="AB4" s="30" t="s">
        <v>62</v>
      </c>
      <c r="AC4" s="31" t="s">
        <v>503</v>
      </c>
      <c r="AE4" s="30" t="s">
        <v>62</v>
      </c>
      <c r="AF4" s="31" t="s">
        <v>504</v>
      </c>
      <c r="AH4" s="30">
        <v>1</v>
      </c>
      <c r="AI4" s="31" t="s">
        <v>505</v>
      </c>
      <c r="AK4" s="30">
        <v>1</v>
      </c>
      <c r="AL4" s="31" t="s">
        <v>506</v>
      </c>
      <c r="AN4" s="30" t="s">
        <v>301</v>
      </c>
      <c r="AO4" s="31" t="s">
        <v>507</v>
      </c>
      <c r="AQ4" s="30">
        <v>1</v>
      </c>
      <c r="AR4" s="31" t="s">
        <v>508</v>
      </c>
      <c r="AT4" s="30" t="s">
        <v>267</v>
      </c>
      <c r="AU4" s="31" t="s">
        <v>509</v>
      </c>
      <c r="AW4" s="30">
        <v>1</v>
      </c>
      <c r="AX4" s="31" t="s">
        <v>510</v>
      </c>
      <c r="AZ4" s="30" t="s">
        <v>511</v>
      </c>
      <c r="BA4" s="31" t="s">
        <v>512</v>
      </c>
      <c r="BC4" s="30" t="s">
        <v>513</v>
      </c>
      <c r="BD4" s="31" t="s">
        <v>514</v>
      </c>
    </row>
    <row r="5" spans="1:56" ht="15" customHeight="1" x14ac:dyDescent="0.25">
      <c r="A5" s="30" t="s">
        <v>515</v>
      </c>
      <c r="B5" s="31" t="s">
        <v>516</v>
      </c>
      <c r="D5" s="30" t="s">
        <v>517</v>
      </c>
      <c r="E5" s="31" t="s">
        <v>518</v>
      </c>
      <c r="J5" s="30" t="s">
        <v>519</v>
      </c>
      <c r="K5" s="31" t="s">
        <v>520</v>
      </c>
      <c r="M5" s="30" t="s">
        <v>267</v>
      </c>
      <c r="N5" s="31" t="s">
        <v>521</v>
      </c>
      <c r="P5" s="30" t="s">
        <v>267</v>
      </c>
      <c r="Q5" s="31" t="s">
        <v>522</v>
      </c>
      <c r="S5" s="30" t="s">
        <v>244</v>
      </c>
      <c r="T5" s="31" t="s">
        <v>523</v>
      </c>
      <c r="V5" s="30" t="s">
        <v>267</v>
      </c>
      <c r="W5" s="31" t="s">
        <v>524</v>
      </c>
      <c r="Y5" s="30" t="s">
        <v>267</v>
      </c>
      <c r="Z5" s="31" t="s">
        <v>525</v>
      </c>
      <c r="AB5" s="30" t="s">
        <v>267</v>
      </c>
      <c r="AC5" s="31" t="s">
        <v>526</v>
      </c>
      <c r="AH5" s="30" t="s">
        <v>301</v>
      </c>
      <c r="AI5" s="31" t="s">
        <v>527</v>
      </c>
      <c r="AK5" s="30">
        <v>2</v>
      </c>
      <c r="AL5" s="31" t="s">
        <v>528</v>
      </c>
      <c r="AN5" s="30" t="s">
        <v>529</v>
      </c>
      <c r="AO5" s="31" t="s">
        <v>530</v>
      </c>
      <c r="AQ5" s="30">
        <v>2</v>
      </c>
      <c r="AR5" s="31" t="s">
        <v>507</v>
      </c>
      <c r="AT5" s="30" t="s">
        <v>531</v>
      </c>
      <c r="AU5" s="31" t="s">
        <v>532</v>
      </c>
      <c r="AW5" s="30">
        <v>2</v>
      </c>
      <c r="AX5" s="31" t="s">
        <v>533</v>
      </c>
      <c r="AZ5" s="30" t="s">
        <v>534</v>
      </c>
      <c r="BA5" s="31" t="s">
        <v>535</v>
      </c>
      <c r="BC5" s="30" t="s">
        <v>536</v>
      </c>
      <c r="BD5" s="31" t="s">
        <v>537</v>
      </c>
    </row>
    <row r="6" spans="1:56" ht="15" customHeight="1" x14ac:dyDescent="0.25">
      <c r="A6" s="30" t="s">
        <v>538</v>
      </c>
      <c r="B6" s="31" t="s">
        <v>539</v>
      </c>
      <c r="J6" s="30" t="s">
        <v>540</v>
      </c>
      <c r="K6" s="31" t="s">
        <v>541</v>
      </c>
      <c r="M6" s="30" t="s">
        <v>531</v>
      </c>
      <c r="N6" s="31" t="s">
        <v>542</v>
      </c>
      <c r="V6" s="30" t="s">
        <v>531</v>
      </c>
      <c r="W6" s="31" t="s">
        <v>543</v>
      </c>
      <c r="AH6" s="30" t="s">
        <v>529</v>
      </c>
      <c r="AI6" s="31" t="s">
        <v>544</v>
      </c>
      <c r="AK6" s="30">
        <v>3</v>
      </c>
      <c r="AL6" s="31" t="s">
        <v>545</v>
      </c>
      <c r="AN6" s="30" t="s">
        <v>546</v>
      </c>
      <c r="AO6" s="31" t="s">
        <v>532</v>
      </c>
      <c r="AQ6" s="30">
        <v>3</v>
      </c>
      <c r="AR6" s="31" t="s">
        <v>547</v>
      </c>
      <c r="AT6" s="30" t="s">
        <v>519</v>
      </c>
      <c r="AU6" s="31" t="s">
        <v>508</v>
      </c>
      <c r="AW6" s="30">
        <v>3</v>
      </c>
      <c r="AX6" s="31" t="s">
        <v>548</v>
      </c>
      <c r="AZ6" s="30" t="s">
        <v>549</v>
      </c>
      <c r="BA6" s="31" t="s">
        <v>550</v>
      </c>
      <c r="BC6" s="30" t="s">
        <v>551</v>
      </c>
      <c r="BD6" s="31" t="s">
        <v>552</v>
      </c>
    </row>
    <row r="7" spans="1:56" ht="15" customHeight="1" x14ac:dyDescent="0.25">
      <c r="M7" s="30" t="s">
        <v>519</v>
      </c>
      <c r="N7" s="31" t="s">
        <v>553</v>
      </c>
      <c r="V7" s="30" t="s">
        <v>519</v>
      </c>
      <c r="W7" s="31" t="s">
        <v>554</v>
      </c>
      <c r="AH7" s="30" t="s">
        <v>546</v>
      </c>
      <c r="AI7" s="31" t="s">
        <v>555</v>
      </c>
      <c r="AK7" s="30">
        <v>4</v>
      </c>
      <c r="AL7" s="31" t="s">
        <v>556</v>
      </c>
      <c r="AN7" s="30" t="s">
        <v>557</v>
      </c>
      <c r="AO7" s="31" t="s">
        <v>558</v>
      </c>
      <c r="AQ7" s="30">
        <v>4</v>
      </c>
      <c r="AR7" s="31" t="s">
        <v>559</v>
      </c>
      <c r="AT7" s="30" t="s">
        <v>540</v>
      </c>
      <c r="AU7" s="31" t="s">
        <v>507</v>
      </c>
      <c r="AW7" s="30">
        <v>4</v>
      </c>
      <c r="AX7" s="31" t="s">
        <v>560</v>
      </c>
      <c r="AZ7" s="30" t="s">
        <v>561</v>
      </c>
      <c r="BA7" s="31" t="s">
        <v>562</v>
      </c>
      <c r="BC7" s="30" t="s">
        <v>563</v>
      </c>
      <c r="BD7" s="31" t="s">
        <v>564</v>
      </c>
    </row>
    <row r="8" spans="1:56" ht="15" customHeight="1" x14ac:dyDescent="0.25">
      <c r="V8" s="30" t="s">
        <v>540</v>
      </c>
      <c r="W8" s="31" t="s">
        <v>525</v>
      </c>
      <c r="AH8" s="30" t="s">
        <v>557</v>
      </c>
      <c r="AI8" s="31" t="s">
        <v>565</v>
      </c>
      <c r="AK8" s="30">
        <v>5</v>
      </c>
      <c r="AL8" s="31" t="s">
        <v>566</v>
      </c>
      <c r="AN8" s="30" t="s">
        <v>567</v>
      </c>
      <c r="AO8" s="31" t="s">
        <v>508</v>
      </c>
      <c r="AQ8" s="30">
        <v>5</v>
      </c>
      <c r="AR8" s="31" t="s">
        <v>568</v>
      </c>
      <c r="AT8" s="30" t="s">
        <v>569</v>
      </c>
      <c r="AU8" s="31" t="s">
        <v>547</v>
      </c>
      <c r="AW8" s="30">
        <v>5</v>
      </c>
      <c r="AX8" s="31" t="s">
        <v>570</v>
      </c>
      <c r="AZ8" s="30" t="s">
        <v>571</v>
      </c>
      <c r="BA8" s="31" t="s">
        <v>572</v>
      </c>
      <c r="BC8" s="30" t="s">
        <v>561</v>
      </c>
      <c r="BD8" s="31" t="s">
        <v>573</v>
      </c>
    </row>
    <row r="9" spans="1:56" ht="15" customHeight="1" x14ac:dyDescent="0.25">
      <c r="V9" s="30" t="s">
        <v>569</v>
      </c>
      <c r="W9" s="31" t="s">
        <v>574</v>
      </c>
      <c r="AH9" s="30" t="s">
        <v>567</v>
      </c>
      <c r="AI9" s="31" t="s">
        <v>575</v>
      </c>
      <c r="AK9" s="30">
        <v>6</v>
      </c>
      <c r="AL9" s="31" t="s">
        <v>576</v>
      </c>
      <c r="AN9" s="30" t="s">
        <v>515</v>
      </c>
      <c r="AO9" s="31" t="s">
        <v>568</v>
      </c>
      <c r="AQ9" s="30">
        <v>6</v>
      </c>
      <c r="AR9" s="31" t="s">
        <v>577</v>
      </c>
      <c r="AT9" s="30" t="s">
        <v>578</v>
      </c>
      <c r="AU9" s="31" t="s">
        <v>559</v>
      </c>
      <c r="AW9" s="30">
        <v>6</v>
      </c>
      <c r="AX9" s="31" t="s">
        <v>579</v>
      </c>
      <c r="AZ9" s="30" t="s">
        <v>580</v>
      </c>
      <c r="BA9" s="31" t="s">
        <v>581</v>
      </c>
      <c r="BC9" s="30" t="s">
        <v>582</v>
      </c>
      <c r="BD9" s="31" t="s">
        <v>583</v>
      </c>
    </row>
    <row r="10" spans="1:56" ht="15" customHeight="1" x14ac:dyDescent="0.25">
      <c r="AH10" s="30" t="s">
        <v>515</v>
      </c>
      <c r="AI10" s="31" t="s">
        <v>584</v>
      </c>
      <c r="AK10" s="30">
        <v>7</v>
      </c>
      <c r="AL10" s="31" t="s">
        <v>585</v>
      </c>
      <c r="AN10" s="30" t="s">
        <v>586</v>
      </c>
      <c r="AO10" s="31" t="s">
        <v>587</v>
      </c>
      <c r="AQ10" s="30">
        <v>7</v>
      </c>
      <c r="AR10" s="31" t="s">
        <v>588</v>
      </c>
      <c r="AT10" s="30" t="s">
        <v>589</v>
      </c>
      <c r="AU10" s="31" t="s">
        <v>568</v>
      </c>
      <c r="AW10" s="30">
        <v>7</v>
      </c>
      <c r="AX10" s="31" t="s">
        <v>590</v>
      </c>
      <c r="AZ10" s="30" t="s">
        <v>591</v>
      </c>
      <c r="BA10" s="31" t="s">
        <v>592</v>
      </c>
      <c r="BC10" s="30" t="s">
        <v>593</v>
      </c>
      <c r="BD10" s="31" t="s">
        <v>594</v>
      </c>
    </row>
    <row r="11" spans="1:56" ht="27.75" customHeight="1" x14ac:dyDescent="0.25">
      <c r="AH11" s="30" t="s">
        <v>586</v>
      </c>
      <c r="AI11" s="31" t="s">
        <v>595</v>
      </c>
      <c r="AK11" s="30">
        <v>8</v>
      </c>
      <c r="AL11" s="31" t="s">
        <v>596</v>
      </c>
      <c r="AN11" s="30" t="s">
        <v>597</v>
      </c>
      <c r="AO11" s="31" t="s">
        <v>598</v>
      </c>
      <c r="AQ11" s="30">
        <v>8</v>
      </c>
      <c r="AR11" s="31" t="s">
        <v>587</v>
      </c>
      <c r="AT11" s="30" t="s">
        <v>599</v>
      </c>
      <c r="AU11" s="31" t="s">
        <v>600</v>
      </c>
      <c r="AW11" s="30">
        <v>8</v>
      </c>
      <c r="AX11" s="31" t="s">
        <v>601</v>
      </c>
      <c r="AZ11" s="30" t="s">
        <v>602</v>
      </c>
      <c r="BA11" s="31" t="s">
        <v>603</v>
      </c>
      <c r="BC11" s="30" t="s">
        <v>604</v>
      </c>
      <c r="BD11" s="31" t="s">
        <v>605</v>
      </c>
    </row>
    <row r="12" spans="1:56" ht="81.75" customHeight="1" x14ac:dyDescent="0.25">
      <c r="AH12" s="30" t="s">
        <v>597</v>
      </c>
      <c r="AI12" s="31" t="s">
        <v>606</v>
      </c>
      <c r="AK12" s="30">
        <v>9</v>
      </c>
      <c r="AL12" s="31" t="s">
        <v>607</v>
      </c>
      <c r="AN12" s="30" t="s">
        <v>608</v>
      </c>
      <c r="AO12" s="31" t="s">
        <v>609</v>
      </c>
      <c r="AQ12" s="30">
        <v>9</v>
      </c>
      <c r="AR12" s="31" t="s">
        <v>598</v>
      </c>
      <c r="AT12" s="30">
        <v>10</v>
      </c>
      <c r="AU12" s="31" t="s">
        <v>610</v>
      </c>
      <c r="AW12" s="30">
        <v>9</v>
      </c>
      <c r="AX12" s="31" t="s">
        <v>611</v>
      </c>
      <c r="AZ12" s="30" t="s">
        <v>612</v>
      </c>
      <c r="BA12" s="31" t="s">
        <v>613</v>
      </c>
      <c r="BC12" s="30" t="s">
        <v>614</v>
      </c>
      <c r="BD12" s="31" t="s">
        <v>615</v>
      </c>
    </row>
    <row r="13" spans="1:56" ht="68.25" customHeight="1" x14ac:dyDescent="0.25">
      <c r="AH13" s="30" t="s">
        <v>608</v>
      </c>
      <c r="AI13" s="31" t="s">
        <v>616</v>
      </c>
      <c r="AK13" s="30">
        <v>10</v>
      </c>
      <c r="AL13" s="31" t="s">
        <v>617</v>
      </c>
      <c r="AN13" s="30" t="s">
        <v>618</v>
      </c>
      <c r="AO13" s="31" t="s">
        <v>619</v>
      </c>
      <c r="AQ13" s="30">
        <v>10</v>
      </c>
      <c r="AR13" s="31" t="s">
        <v>620</v>
      </c>
      <c r="AT13" s="30">
        <v>11</v>
      </c>
      <c r="AU13" s="31" t="s">
        <v>621</v>
      </c>
      <c r="AW13" s="30">
        <v>10</v>
      </c>
      <c r="AX13" s="31" t="s">
        <v>622</v>
      </c>
      <c r="AZ13" s="30" t="s">
        <v>623</v>
      </c>
      <c r="BA13" s="31" t="s">
        <v>624</v>
      </c>
      <c r="BC13" s="30" t="s">
        <v>625</v>
      </c>
      <c r="BD13" s="31" t="s">
        <v>626</v>
      </c>
    </row>
    <row r="14" spans="1:56" ht="54.75" customHeight="1" x14ac:dyDescent="0.25">
      <c r="AH14" s="30" t="s">
        <v>618</v>
      </c>
      <c r="AI14" s="31" t="s">
        <v>627</v>
      </c>
      <c r="AK14" s="30">
        <v>11</v>
      </c>
      <c r="AL14" s="31" t="s">
        <v>628</v>
      </c>
      <c r="AN14" s="30" t="s">
        <v>629</v>
      </c>
      <c r="AO14" s="31" t="s">
        <v>630</v>
      </c>
      <c r="AQ14" s="30">
        <v>11</v>
      </c>
      <c r="AR14" s="31" t="s">
        <v>631</v>
      </c>
      <c r="AT14" s="30">
        <v>12</v>
      </c>
      <c r="AU14" s="31" t="s">
        <v>631</v>
      </c>
      <c r="AW14" s="30">
        <v>11</v>
      </c>
      <c r="AX14" s="31" t="s">
        <v>632</v>
      </c>
      <c r="AZ14" s="30" t="s">
        <v>633</v>
      </c>
      <c r="BA14" s="31" t="s">
        <v>634</v>
      </c>
      <c r="BC14" s="30" t="s">
        <v>549</v>
      </c>
      <c r="BD14" s="31" t="s">
        <v>635</v>
      </c>
    </row>
    <row r="15" spans="1:56" ht="81.75" customHeight="1" x14ac:dyDescent="0.25">
      <c r="AH15" s="30" t="s">
        <v>636</v>
      </c>
      <c r="AI15" s="31" t="s">
        <v>637</v>
      </c>
      <c r="AK15" s="30">
        <v>12</v>
      </c>
      <c r="AL15" s="31" t="s">
        <v>638</v>
      </c>
      <c r="AN15" s="30" t="s">
        <v>639</v>
      </c>
      <c r="AO15" s="31" t="s">
        <v>610</v>
      </c>
      <c r="AQ15" s="30">
        <v>12</v>
      </c>
      <c r="AR15" s="31" t="s">
        <v>640</v>
      </c>
      <c r="AT15" s="30">
        <v>13</v>
      </c>
      <c r="AU15" s="31" t="s">
        <v>640</v>
      </c>
      <c r="AW15" s="30">
        <v>12</v>
      </c>
      <c r="AX15" s="31" t="s">
        <v>641</v>
      </c>
      <c r="AZ15" s="30" t="s">
        <v>642</v>
      </c>
      <c r="BA15" s="31" t="s">
        <v>643</v>
      </c>
      <c r="BC15" s="30" t="s">
        <v>644</v>
      </c>
      <c r="BD15" s="31" t="s">
        <v>645</v>
      </c>
    </row>
    <row r="16" spans="1:56" ht="54.75" customHeight="1" x14ac:dyDescent="0.25">
      <c r="AH16" s="30" t="s">
        <v>646</v>
      </c>
      <c r="AI16" s="31" t="s">
        <v>647</v>
      </c>
      <c r="AK16" s="30">
        <v>13</v>
      </c>
      <c r="AL16" s="31" t="s">
        <v>648</v>
      </c>
      <c r="AN16" s="30" t="s">
        <v>649</v>
      </c>
      <c r="AO16" s="31" t="s">
        <v>621</v>
      </c>
      <c r="AQ16" s="30">
        <v>13</v>
      </c>
      <c r="AR16" s="31" t="s">
        <v>650</v>
      </c>
      <c r="AT16" s="30">
        <v>14</v>
      </c>
      <c r="AU16" s="31" t="s">
        <v>651</v>
      </c>
      <c r="AW16" s="30">
        <v>13</v>
      </c>
      <c r="AX16" s="31" t="s">
        <v>652</v>
      </c>
      <c r="AZ16" s="30" t="s">
        <v>653</v>
      </c>
      <c r="BA16" s="31" t="s">
        <v>654</v>
      </c>
      <c r="BC16" s="30" t="s">
        <v>655</v>
      </c>
      <c r="BD16" s="31" t="s">
        <v>656</v>
      </c>
    </row>
    <row r="17" spans="34:56" ht="108.75" customHeight="1" x14ac:dyDescent="0.25">
      <c r="AH17" s="30" t="s">
        <v>209</v>
      </c>
      <c r="AI17" s="31" t="s">
        <v>657</v>
      </c>
      <c r="AK17" s="30">
        <v>14</v>
      </c>
      <c r="AL17" s="31" t="s">
        <v>658</v>
      </c>
      <c r="AN17" s="30" t="s">
        <v>659</v>
      </c>
      <c r="AO17" s="31" t="s">
        <v>660</v>
      </c>
      <c r="AQ17" s="30">
        <v>14</v>
      </c>
      <c r="AR17" s="31" t="s">
        <v>661</v>
      </c>
      <c r="AT17" s="30">
        <v>15</v>
      </c>
      <c r="AU17" s="31" t="s">
        <v>650</v>
      </c>
      <c r="AW17" s="30">
        <v>14</v>
      </c>
      <c r="AX17" s="31" t="s">
        <v>662</v>
      </c>
      <c r="AZ17" s="30" t="s">
        <v>663</v>
      </c>
      <c r="BA17" s="31" t="s">
        <v>664</v>
      </c>
      <c r="BC17" s="30" t="s">
        <v>665</v>
      </c>
      <c r="BD17" s="31" t="s">
        <v>666</v>
      </c>
    </row>
    <row r="18" spans="34:56" ht="108.75" customHeight="1" x14ac:dyDescent="0.25">
      <c r="AH18" s="30" t="s">
        <v>517</v>
      </c>
      <c r="AI18" s="31" t="s">
        <v>667</v>
      </c>
      <c r="AK18" s="30">
        <v>15</v>
      </c>
      <c r="AL18" s="31" t="s">
        <v>668</v>
      </c>
      <c r="AN18" s="30" t="s">
        <v>669</v>
      </c>
      <c r="AO18" s="31" t="s">
        <v>577</v>
      </c>
      <c r="AQ18" s="30">
        <v>15</v>
      </c>
      <c r="AR18" s="31" t="s">
        <v>670</v>
      </c>
      <c r="AT18" s="30">
        <v>16</v>
      </c>
      <c r="AU18" s="31" t="s">
        <v>661</v>
      </c>
      <c r="AW18" s="30">
        <v>15</v>
      </c>
      <c r="AX18" s="31" t="s">
        <v>671</v>
      </c>
      <c r="AZ18" s="30" t="s">
        <v>672</v>
      </c>
      <c r="BA18" s="31" t="s">
        <v>673</v>
      </c>
      <c r="BC18" s="30" t="s">
        <v>674</v>
      </c>
      <c r="BD18" s="31" t="s">
        <v>675</v>
      </c>
    </row>
    <row r="19" spans="34:56" ht="81.75" customHeight="1" x14ac:dyDescent="0.25">
      <c r="AH19" s="30" t="s">
        <v>211</v>
      </c>
      <c r="AI19" s="31" t="s">
        <v>676</v>
      </c>
      <c r="AN19" s="30" t="s">
        <v>677</v>
      </c>
      <c r="AO19" s="31" t="s">
        <v>588</v>
      </c>
      <c r="AQ19" s="30">
        <v>16</v>
      </c>
      <c r="AR19" s="31" t="s">
        <v>678</v>
      </c>
      <c r="AT19" s="30">
        <v>17</v>
      </c>
      <c r="AU19" s="31" t="s">
        <v>679</v>
      </c>
      <c r="AW19" s="30">
        <v>16</v>
      </c>
      <c r="AX19" s="31" t="s">
        <v>680</v>
      </c>
      <c r="AZ19" s="30" t="s">
        <v>681</v>
      </c>
      <c r="BA19" s="31" t="s">
        <v>682</v>
      </c>
      <c r="BC19" s="30" t="s">
        <v>683</v>
      </c>
      <c r="BD19" s="31" t="s">
        <v>684</v>
      </c>
    </row>
    <row r="20" spans="34:56" ht="27.75" customHeight="1" x14ac:dyDescent="0.25">
      <c r="AH20" s="30" t="s">
        <v>685</v>
      </c>
      <c r="AI20" s="31" t="s">
        <v>686</v>
      </c>
      <c r="AN20" s="30" t="s">
        <v>687</v>
      </c>
      <c r="AO20" s="31" t="s">
        <v>688</v>
      </c>
      <c r="AQ20" s="30">
        <v>99</v>
      </c>
      <c r="AR20" s="31" t="s">
        <v>668</v>
      </c>
      <c r="AT20" s="30">
        <v>35</v>
      </c>
      <c r="AU20" s="31" t="s">
        <v>689</v>
      </c>
      <c r="AW20" s="30">
        <v>17</v>
      </c>
      <c r="AX20" s="31" t="s">
        <v>690</v>
      </c>
      <c r="AZ20" s="30" t="s">
        <v>691</v>
      </c>
      <c r="BA20" s="31" t="s">
        <v>692</v>
      </c>
      <c r="BC20" s="30" t="s">
        <v>693</v>
      </c>
      <c r="BD20" s="31" t="s">
        <v>694</v>
      </c>
    </row>
    <row r="21" spans="34:56" ht="15" customHeight="1" x14ac:dyDescent="0.25">
      <c r="AH21" s="30" t="s">
        <v>695</v>
      </c>
      <c r="AI21" s="31" t="s">
        <v>696</v>
      </c>
      <c r="AN21" s="30" t="s">
        <v>697</v>
      </c>
      <c r="AO21" s="31" t="s">
        <v>698</v>
      </c>
      <c r="AT21" s="30">
        <v>36</v>
      </c>
      <c r="AU21" s="31" t="s">
        <v>598</v>
      </c>
      <c r="AW21" s="30">
        <v>18</v>
      </c>
      <c r="AX21" s="31" t="s">
        <v>699</v>
      </c>
      <c r="AZ21" s="30" t="s">
        <v>700</v>
      </c>
      <c r="BA21" s="31" t="s">
        <v>701</v>
      </c>
      <c r="BC21" s="30" t="s">
        <v>702</v>
      </c>
      <c r="BD21" s="31" t="s">
        <v>703</v>
      </c>
    </row>
    <row r="22" spans="34:56" ht="15" customHeight="1" x14ac:dyDescent="0.25">
      <c r="AH22" s="30" t="s">
        <v>704</v>
      </c>
      <c r="AI22" s="31" t="s">
        <v>630</v>
      </c>
      <c r="AN22" s="30" t="s">
        <v>705</v>
      </c>
      <c r="AO22" s="31" t="s">
        <v>706</v>
      </c>
      <c r="AT22" s="30">
        <v>37</v>
      </c>
      <c r="AU22" s="31" t="s">
        <v>620</v>
      </c>
      <c r="AW22" s="30">
        <v>19</v>
      </c>
      <c r="AX22" s="31" t="s">
        <v>707</v>
      </c>
      <c r="AZ22" s="30" t="s">
        <v>708</v>
      </c>
      <c r="BA22" s="31" t="s">
        <v>709</v>
      </c>
      <c r="BC22" s="30" t="s">
        <v>710</v>
      </c>
      <c r="BD22" s="31" t="s">
        <v>711</v>
      </c>
    </row>
    <row r="23" spans="34:56" ht="54.75" customHeight="1" x14ac:dyDescent="0.25">
      <c r="AH23" s="30" t="s">
        <v>712</v>
      </c>
      <c r="AI23" s="31" t="s">
        <v>713</v>
      </c>
      <c r="AN23" s="30" t="s">
        <v>714</v>
      </c>
      <c r="AO23" s="31" t="s">
        <v>715</v>
      </c>
      <c r="AT23" s="30">
        <v>38</v>
      </c>
      <c r="AU23" s="31" t="s">
        <v>631</v>
      </c>
      <c r="AW23" s="30">
        <v>20</v>
      </c>
      <c r="AX23" s="31" t="s">
        <v>716</v>
      </c>
      <c r="AZ23" s="30" t="s">
        <v>717</v>
      </c>
      <c r="BA23" s="31" t="s">
        <v>718</v>
      </c>
      <c r="BC23" s="30" t="s">
        <v>719</v>
      </c>
      <c r="BD23" s="31" t="s">
        <v>720</v>
      </c>
    </row>
    <row r="24" spans="34:56" ht="68.25" customHeight="1" x14ac:dyDescent="0.25">
      <c r="AN24" s="30" t="s">
        <v>721</v>
      </c>
      <c r="AO24" s="31" t="s">
        <v>722</v>
      </c>
      <c r="AT24" s="30">
        <v>42</v>
      </c>
      <c r="AU24" s="31" t="s">
        <v>723</v>
      </c>
      <c r="AZ24" s="30" t="s">
        <v>724</v>
      </c>
      <c r="BA24" s="31" t="s">
        <v>725</v>
      </c>
      <c r="BC24" s="30" t="s">
        <v>726</v>
      </c>
      <c r="BD24" s="31" t="s">
        <v>727</v>
      </c>
    </row>
    <row r="25" spans="34:56" ht="15" customHeight="1" x14ac:dyDescent="0.25">
      <c r="AN25" s="30" t="s">
        <v>728</v>
      </c>
      <c r="AO25" s="31" t="s">
        <v>729</v>
      </c>
      <c r="AT25" s="30">
        <v>97</v>
      </c>
      <c r="AU25" s="31" t="s">
        <v>730</v>
      </c>
      <c r="AZ25" s="30" t="s">
        <v>731</v>
      </c>
      <c r="BA25" s="31" t="s">
        <v>732</v>
      </c>
      <c r="BC25" s="30" t="s">
        <v>733</v>
      </c>
      <c r="BD25" s="31" t="s">
        <v>734</v>
      </c>
    </row>
    <row r="26" spans="34:56" ht="27.75" customHeight="1" x14ac:dyDescent="0.25">
      <c r="AN26" s="30" t="s">
        <v>735</v>
      </c>
      <c r="AO26" s="31" t="s">
        <v>736</v>
      </c>
      <c r="AT26" s="30">
        <v>18</v>
      </c>
      <c r="AU26" s="31" t="s">
        <v>660</v>
      </c>
      <c r="AZ26" s="30" t="s">
        <v>737</v>
      </c>
      <c r="BA26" s="31" t="s">
        <v>738</v>
      </c>
      <c r="BC26" s="30" t="s">
        <v>739</v>
      </c>
      <c r="BD26" s="31" t="s">
        <v>740</v>
      </c>
    </row>
    <row r="27" spans="34:56" ht="15" customHeight="1" x14ac:dyDescent="0.25">
      <c r="AT27" s="30">
        <v>19</v>
      </c>
      <c r="AU27" s="31" t="s">
        <v>577</v>
      </c>
      <c r="AZ27" s="30" t="s">
        <v>741</v>
      </c>
      <c r="BA27" s="31" t="s">
        <v>742</v>
      </c>
      <c r="BC27" s="30" t="s">
        <v>743</v>
      </c>
      <c r="BD27" s="31" t="s">
        <v>744</v>
      </c>
    </row>
    <row r="28" spans="34:56" ht="15" customHeight="1" x14ac:dyDescent="0.25">
      <c r="AT28" s="30">
        <v>20</v>
      </c>
      <c r="AU28" s="31" t="s">
        <v>588</v>
      </c>
      <c r="AZ28" s="30" t="s">
        <v>745</v>
      </c>
      <c r="BA28" s="31" t="s">
        <v>746</v>
      </c>
      <c r="BC28" s="30" t="s">
        <v>747</v>
      </c>
      <c r="BD28" s="31" t="s">
        <v>748</v>
      </c>
    </row>
    <row r="29" spans="34:56" ht="15" customHeight="1" x14ac:dyDescent="0.25">
      <c r="AT29" s="30">
        <v>21</v>
      </c>
      <c r="AU29" s="31" t="s">
        <v>688</v>
      </c>
      <c r="AZ29" s="30" t="s">
        <v>749</v>
      </c>
      <c r="BA29" s="31" t="s">
        <v>750</v>
      </c>
      <c r="BC29" s="30" t="s">
        <v>751</v>
      </c>
      <c r="BD29" s="31" t="s">
        <v>752</v>
      </c>
    </row>
    <row r="30" spans="34:56" ht="15" customHeight="1" x14ac:dyDescent="0.25">
      <c r="AT30" s="30">
        <v>22</v>
      </c>
      <c r="AU30" s="31" t="s">
        <v>698</v>
      </c>
      <c r="AZ30" s="30" t="s">
        <v>753</v>
      </c>
      <c r="BA30" s="31" t="s">
        <v>754</v>
      </c>
      <c r="BC30" s="30" t="s">
        <v>755</v>
      </c>
      <c r="BD30" s="31" t="s">
        <v>756</v>
      </c>
    </row>
    <row r="31" spans="34:56" ht="15" customHeight="1" x14ac:dyDescent="0.25">
      <c r="AT31" s="30">
        <v>23</v>
      </c>
      <c r="AU31" s="31" t="s">
        <v>706</v>
      </c>
      <c r="AZ31" s="30" t="s">
        <v>757</v>
      </c>
      <c r="BA31" s="31" t="s">
        <v>754</v>
      </c>
      <c r="BC31" s="30" t="s">
        <v>758</v>
      </c>
      <c r="BD31" s="31" t="s">
        <v>759</v>
      </c>
    </row>
    <row r="32" spans="34:56" ht="15" customHeight="1" x14ac:dyDescent="0.25">
      <c r="AT32" s="30">
        <v>24</v>
      </c>
      <c r="AU32" s="31" t="s">
        <v>715</v>
      </c>
      <c r="AZ32" s="30" t="s">
        <v>760</v>
      </c>
      <c r="BA32" s="31" t="s">
        <v>761</v>
      </c>
      <c r="BC32" s="30" t="s">
        <v>762</v>
      </c>
      <c r="BD32" s="31" t="s">
        <v>763</v>
      </c>
    </row>
    <row r="33" spans="46:56" ht="27.75" customHeight="1" x14ac:dyDescent="0.25">
      <c r="AT33" s="30">
        <v>25</v>
      </c>
      <c r="AU33" s="31" t="s">
        <v>764</v>
      </c>
      <c r="AZ33" s="30" t="s">
        <v>765</v>
      </c>
      <c r="BA33" s="31" t="s">
        <v>766</v>
      </c>
      <c r="BC33" s="30" t="s">
        <v>767</v>
      </c>
      <c r="BD33" s="31" t="s">
        <v>768</v>
      </c>
    </row>
    <row r="34" spans="46:56" ht="15" customHeight="1" x14ac:dyDescent="0.25">
      <c r="AT34" s="30">
        <v>26</v>
      </c>
      <c r="AU34" s="31" t="s">
        <v>769</v>
      </c>
      <c r="AZ34" s="30" t="s">
        <v>770</v>
      </c>
      <c r="BA34" s="31" t="s">
        <v>771</v>
      </c>
      <c r="BC34" s="30" t="s">
        <v>772</v>
      </c>
      <c r="BD34" s="31" t="s">
        <v>773</v>
      </c>
    </row>
    <row r="35" spans="46:56" ht="15" customHeight="1" x14ac:dyDescent="0.25">
      <c r="AT35" s="30">
        <v>27</v>
      </c>
      <c r="AU35" s="31" t="s">
        <v>774</v>
      </c>
      <c r="AZ35" s="30" t="s">
        <v>775</v>
      </c>
      <c r="BA35" s="31" t="s">
        <v>776</v>
      </c>
      <c r="BC35" s="30" t="s">
        <v>571</v>
      </c>
      <c r="BD35" s="31" t="s">
        <v>777</v>
      </c>
    </row>
    <row r="36" spans="46:56" ht="15" customHeight="1" x14ac:dyDescent="0.25">
      <c r="AT36" s="30">
        <v>98</v>
      </c>
      <c r="AU36" s="31" t="s">
        <v>668</v>
      </c>
      <c r="AZ36" s="30" t="s">
        <v>778</v>
      </c>
      <c r="BA36" s="31" t="s">
        <v>779</v>
      </c>
      <c r="BC36" s="30" t="s">
        <v>780</v>
      </c>
      <c r="BD36" s="31" t="s">
        <v>781</v>
      </c>
    </row>
    <row r="37" spans="46:56" ht="15" customHeight="1" x14ac:dyDescent="0.25">
      <c r="AZ37" s="30" t="s">
        <v>264</v>
      </c>
      <c r="BA37" s="31" t="s">
        <v>782</v>
      </c>
      <c r="BC37" s="30" t="s">
        <v>783</v>
      </c>
      <c r="BD37" s="31" t="s">
        <v>784</v>
      </c>
    </row>
    <row r="38" spans="46:56" ht="15" customHeight="1" x14ac:dyDescent="0.25">
      <c r="AZ38" s="30" t="s">
        <v>785</v>
      </c>
      <c r="BA38" s="31" t="s">
        <v>786</v>
      </c>
      <c r="BC38" s="30" t="s">
        <v>787</v>
      </c>
      <c r="BD38" s="31" t="s">
        <v>788</v>
      </c>
    </row>
    <row r="39" spans="46:56" ht="15" customHeight="1" x14ac:dyDescent="0.25">
      <c r="AZ39" s="30" t="s">
        <v>789</v>
      </c>
      <c r="BA39" s="31" t="s">
        <v>779</v>
      </c>
      <c r="BC39" s="30" t="s">
        <v>790</v>
      </c>
      <c r="BD39" s="31" t="s">
        <v>791</v>
      </c>
    </row>
    <row r="40" spans="46:56" ht="15" customHeight="1" x14ac:dyDescent="0.25">
      <c r="AZ40" s="30" t="s">
        <v>792</v>
      </c>
      <c r="BA40" s="31" t="s">
        <v>793</v>
      </c>
      <c r="BC40" s="30" t="s">
        <v>794</v>
      </c>
      <c r="BD40" s="31" t="s">
        <v>795</v>
      </c>
    </row>
    <row r="41" spans="46:56" ht="15" customHeight="1" x14ac:dyDescent="0.25">
      <c r="AZ41" s="30" t="s">
        <v>796</v>
      </c>
      <c r="BA41" s="31" t="s">
        <v>793</v>
      </c>
      <c r="BC41" s="30" t="s">
        <v>797</v>
      </c>
      <c r="BD41" s="31" t="s">
        <v>798</v>
      </c>
    </row>
    <row r="42" spans="46:56" ht="15" customHeight="1" x14ac:dyDescent="0.25">
      <c r="AZ42" s="30" t="s">
        <v>799</v>
      </c>
      <c r="BA42" s="31" t="s">
        <v>800</v>
      </c>
      <c r="BC42" s="30" t="s">
        <v>801</v>
      </c>
      <c r="BD42" s="31" t="s">
        <v>802</v>
      </c>
    </row>
    <row r="43" spans="46:56" ht="15" customHeight="1" x14ac:dyDescent="0.25">
      <c r="AZ43" s="30" t="s">
        <v>803</v>
      </c>
      <c r="BA43" s="31" t="s">
        <v>804</v>
      </c>
      <c r="BC43" s="30" t="s">
        <v>805</v>
      </c>
      <c r="BD43" s="31" t="s">
        <v>806</v>
      </c>
    </row>
    <row r="44" spans="46:56" ht="15" customHeight="1" x14ac:dyDescent="0.25">
      <c r="AZ44" s="30" t="s">
        <v>807</v>
      </c>
      <c r="BA44" s="31" t="s">
        <v>808</v>
      </c>
      <c r="BC44" s="30" t="s">
        <v>809</v>
      </c>
      <c r="BD44" s="31" t="s">
        <v>810</v>
      </c>
    </row>
    <row r="45" spans="46:56" ht="15" customHeight="1" x14ac:dyDescent="0.25">
      <c r="AZ45" s="30" t="s">
        <v>593</v>
      </c>
      <c r="BA45" s="31" t="s">
        <v>811</v>
      </c>
      <c r="BC45" s="30" t="s">
        <v>812</v>
      </c>
      <c r="BD45" s="31" t="s">
        <v>813</v>
      </c>
    </row>
    <row r="46" spans="46:56" ht="15" customHeight="1" x14ac:dyDescent="0.25">
      <c r="BC46" s="30" t="s">
        <v>814</v>
      </c>
      <c r="BD46" s="31" t="s">
        <v>815</v>
      </c>
    </row>
    <row r="47" spans="46:56" ht="15" customHeight="1" x14ac:dyDescent="0.25">
      <c r="BC47" s="30" t="s">
        <v>816</v>
      </c>
      <c r="BD47" s="31" t="s">
        <v>817</v>
      </c>
    </row>
    <row r="48" spans="46:56" ht="15" customHeight="1" x14ac:dyDescent="0.25">
      <c r="BC48" s="30" t="s">
        <v>818</v>
      </c>
      <c r="BD48" s="31" t="s">
        <v>819</v>
      </c>
    </row>
    <row r="49" spans="55:56" ht="15" customHeight="1" x14ac:dyDescent="0.25">
      <c r="BC49" s="30" t="s">
        <v>820</v>
      </c>
      <c r="BD49" s="31" t="s">
        <v>821</v>
      </c>
    </row>
    <row r="50" spans="55:56" ht="15" customHeight="1" x14ac:dyDescent="0.25">
      <c r="BC50" s="30" t="s">
        <v>822</v>
      </c>
      <c r="BD50" s="31" t="s">
        <v>823</v>
      </c>
    </row>
    <row r="51" spans="55:56" ht="15" customHeight="1" x14ac:dyDescent="0.25">
      <c r="BC51" s="30" t="s">
        <v>824</v>
      </c>
      <c r="BD51" s="31" t="s">
        <v>825</v>
      </c>
    </row>
    <row r="52" spans="55:56" ht="15" customHeight="1" x14ac:dyDescent="0.25">
      <c r="BC52" s="30" t="s">
        <v>826</v>
      </c>
      <c r="BD52" s="31" t="s">
        <v>827</v>
      </c>
    </row>
    <row r="53" spans="55:56" ht="15" customHeight="1" x14ac:dyDescent="0.25">
      <c r="BC53" s="30" t="s">
        <v>828</v>
      </c>
      <c r="BD53" s="31" t="s">
        <v>829</v>
      </c>
    </row>
    <row r="54" spans="55:56" ht="15" customHeight="1" x14ac:dyDescent="0.25">
      <c r="BC54" s="30" t="s">
        <v>580</v>
      </c>
      <c r="BD54" s="31" t="s">
        <v>830</v>
      </c>
    </row>
    <row r="55" spans="55:56" ht="27.75" customHeight="1" x14ac:dyDescent="0.25">
      <c r="BC55" s="30" t="s">
        <v>831</v>
      </c>
      <c r="BD55" s="31" t="s">
        <v>832</v>
      </c>
    </row>
    <row r="56" spans="55:56" ht="15" customHeight="1" x14ac:dyDescent="0.25">
      <c r="BC56" s="30" t="s">
        <v>833</v>
      </c>
      <c r="BD56" s="31" t="s">
        <v>834</v>
      </c>
    </row>
    <row r="57" spans="55:56" ht="15" customHeight="1" x14ac:dyDescent="0.25">
      <c r="BC57" s="30" t="s">
        <v>835</v>
      </c>
      <c r="BD57" s="31" t="s">
        <v>836</v>
      </c>
    </row>
    <row r="58" spans="55:56" ht="15" customHeight="1" x14ac:dyDescent="0.25">
      <c r="BC58" s="30" t="s">
        <v>837</v>
      </c>
      <c r="BD58" s="31" t="s">
        <v>838</v>
      </c>
    </row>
    <row r="59" spans="55:56" ht="15" customHeight="1" x14ac:dyDescent="0.25">
      <c r="BC59" s="30" t="s">
        <v>663</v>
      </c>
      <c r="BD59" s="31" t="s">
        <v>839</v>
      </c>
    </row>
    <row r="60" spans="55:56" ht="15" customHeight="1" x14ac:dyDescent="0.25">
      <c r="BC60" s="30" t="s">
        <v>840</v>
      </c>
      <c r="BD60" s="31" t="s">
        <v>841</v>
      </c>
    </row>
    <row r="61" spans="55:56" ht="15" customHeight="1" x14ac:dyDescent="0.25">
      <c r="BC61" s="30" t="s">
        <v>842</v>
      </c>
      <c r="BD61" s="31" t="s">
        <v>843</v>
      </c>
    </row>
    <row r="62" spans="55:56" ht="15" customHeight="1" x14ac:dyDescent="0.25">
      <c r="BC62" s="30" t="s">
        <v>844</v>
      </c>
      <c r="BD62" s="31" t="s">
        <v>845</v>
      </c>
    </row>
    <row r="63" spans="55:56" ht="15" customHeight="1" x14ac:dyDescent="0.25">
      <c r="BC63" s="30" t="s">
        <v>846</v>
      </c>
      <c r="BD63" s="31" t="s">
        <v>847</v>
      </c>
    </row>
    <row r="64" spans="55:56" ht="15" customHeight="1" x14ac:dyDescent="0.25">
      <c r="BC64" s="30" t="s">
        <v>848</v>
      </c>
      <c r="BD64" s="31" t="s">
        <v>849</v>
      </c>
    </row>
    <row r="65" spans="55:56" ht="15" customHeight="1" x14ac:dyDescent="0.25">
      <c r="BC65" s="30" t="s">
        <v>850</v>
      </c>
      <c r="BD65" s="31" t="s">
        <v>851</v>
      </c>
    </row>
    <row r="66" spans="55:56" ht="15" customHeight="1" x14ac:dyDescent="0.25">
      <c r="BC66" s="30" t="s">
        <v>852</v>
      </c>
      <c r="BD66" s="31" t="s">
        <v>853</v>
      </c>
    </row>
    <row r="67" spans="55:56" ht="15" customHeight="1" x14ac:dyDescent="0.25">
      <c r="BC67" s="30" t="s">
        <v>854</v>
      </c>
      <c r="BD67" s="31" t="s">
        <v>855</v>
      </c>
    </row>
    <row r="68" spans="55:56" ht="15" customHeight="1" x14ac:dyDescent="0.25">
      <c r="BC68" s="30" t="s">
        <v>856</v>
      </c>
      <c r="BD68" s="31" t="s">
        <v>857</v>
      </c>
    </row>
    <row r="69" spans="55:56" ht="15" customHeight="1" x14ac:dyDescent="0.25">
      <c r="BC69" s="30" t="s">
        <v>858</v>
      </c>
      <c r="BD69" s="31" t="s">
        <v>859</v>
      </c>
    </row>
    <row r="70" spans="55:56" ht="15" customHeight="1" x14ac:dyDescent="0.25">
      <c r="BC70" s="30" t="s">
        <v>860</v>
      </c>
      <c r="BD70" s="31" t="s">
        <v>861</v>
      </c>
    </row>
    <row r="71" spans="55:56" ht="15" customHeight="1" x14ac:dyDescent="0.25">
      <c r="BC71" s="30" t="s">
        <v>862</v>
      </c>
      <c r="BD71" s="31" t="s">
        <v>863</v>
      </c>
    </row>
    <row r="72" spans="55:56" ht="15" customHeight="1" x14ac:dyDescent="0.25">
      <c r="BC72" s="30" t="s">
        <v>864</v>
      </c>
      <c r="BD72" s="31" t="s">
        <v>865</v>
      </c>
    </row>
    <row r="73" spans="55:56" ht="15" customHeight="1" x14ac:dyDescent="0.25">
      <c r="BC73" s="30" t="s">
        <v>866</v>
      </c>
      <c r="BD73" s="31" t="s">
        <v>867</v>
      </c>
    </row>
    <row r="74" spans="55:56" ht="15" customHeight="1" x14ac:dyDescent="0.25">
      <c r="BC74" s="30" t="s">
        <v>868</v>
      </c>
      <c r="BD74" s="31" t="s">
        <v>869</v>
      </c>
    </row>
    <row r="75" spans="55:56" ht="15" customHeight="1" x14ac:dyDescent="0.25">
      <c r="BC75" s="30" t="s">
        <v>870</v>
      </c>
      <c r="BD75" s="31" t="s">
        <v>871</v>
      </c>
    </row>
    <row r="76" spans="55:56" ht="15" customHeight="1" x14ac:dyDescent="0.25">
      <c r="BC76" s="30" t="s">
        <v>872</v>
      </c>
      <c r="BD76" s="31" t="s">
        <v>873</v>
      </c>
    </row>
    <row r="77" spans="55:56" ht="15" customHeight="1" x14ac:dyDescent="0.25">
      <c r="BC77" s="30" t="s">
        <v>874</v>
      </c>
      <c r="BD77" s="31" t="s">
        <v>875</v>
      </c>
    </row>
    <row r="78" spans="55:56" ht="15" customHeight="1" x14ac:dyDescent="0.25">
      <c r="BC78" s="30" t="s">
        <v>876</v>
      </c>
      <c r="BD78" s="31" t="s">
        <v>877</v>
      </c>
    </row>
    <row r="79" spans="55:56" ht="15" customHeight="1" x14ac:dyDescent="0.25">
      <c r="BC79" s="30" t="s">
        <v>878</v>
      </c>
      <c r="BD79" s="31" t="s">
        <v>879</v>
      </c>
    </row>
    <row r="80" spans="55:56" ht="15" customHeight="1" x14ac:dyDescent="0.25">
      <c r="BC80" s="30" t="s">
        <v>880</v>
      </c>
      <c r="BD80" s="31" t="s">
        <v>881</v>
      </c>
    </row>
    <row r="81" spans="55:56" ht="15" customHeight="1" x14ac:dyDescent="0.25">
      <c r="BC81" s="30" t="s">
        <v>882</v>
      </c>
      <c r="BD81" s="31" t="s">
        <v>883</v>
      </c>
    </row>
    <row r="82" spans="55:56" ht="15" customHeight="1" x14ac:dyDescent="0.25">
      <c r="BC82" s="30" t="s">
        <v>884</v>
      </c>
      <c r="BD82" s="31" t="s">
        <v>885</v>
      </c>
    </row>
    <row r="83" spans="55:56" ht="15" customHeight="1" x14ac:dyDescent="0.25">
      <c r="BC83" s="30" t="s">
        <v>633</v>
      </c>
      <c r="BD83" s="31" t="s">
        <v>886</v>
      </c>
    </row>
    <row r="84" spans="55:56" ht="15" customHeight="1" x14ac:dyDescent="0.25">
      <c r="BC84" s="30" t="s">
        <v>887</v>
      </c>
      <c r="BD84" s="31" t="s">
        <v>888</v>
      </c>
    </row>
    <row r="85" spans="55:56" ht="15" customHeight="1" x14ac:dyDescent="0.25">
      <c r="BC85" s="30" t="s">
        <v>889</v>
      </c>
      <c r="BD85" s="31" t="s">
        <v>890</v>
      </c>
    </row>
    <row r="86" spans="55:56" ht="15" customHeight="1" x14ac:dyDescent="0.25">
      <c r="BC86" s="30" t="s">
        <v>891</v>
      </c>
      <c r="BD86" s="31" t="s">
        <v>892</v>
      </c>
    </row>
    <row r="87" spans="55:56" ht="15" customHeight="1" x14ac:dyDescent="0.25">
      <c r="BC87" s="30" t="s">
        <v>893</v>
      </c>
      <c r="BD87" s="31" t="s">
        <v>894</v>
      </c>
    </row>
    <row r="88" spans="55:56" ht="15" customHeight="1" x14ac:dyDescent="0.25">
      <c r="BC88" s="30" t="s">
        <v>895</v>
      </c>
      <c r="BD88" s="31" t="s">
        <v>896</v>
      </c>
    </row>
    <row r="89" spans="55:56" ht="15" customHeight="1" x14ac:dyDescent="0.25">
      <c r="BC89" s="30" t="s">
        <v>897</v>
      </c>
      <c r="BD89" s="31" t="s">
        <v>898</v>
      </c>
    </row>
    <row r="90" spans="55:56" ht="15" customHeight="1" x14ac:dyDescent="0.25">
      <c r="BC90" s="30" t="s">
        <v>899</v>
      </c>
      <c r="BD90" s="31" t="s">
        <v>900</v>
      </c>
    </row>
    <row r="91" spans="55:56" ht="15" customHeight="1" x14ac:dyDescent="0.25">
      <c r="BC91" s="30" t="s">
        <v>901</v>
      </c>
      <c r="BD91" s="31" t="s">
        <v>902</v>
      </c>
    </row>
    <row r="92" spans="55:56" ht="15" customHeight="1" x14ac:dyDescent="0.25">
      <c r="BC92" s="30" t="s">
        <v>903</v>
      </c>
      <c r="BD92" s="31" t="s">
        <v>904</v>
      </c>
    </row>
    <row r="93" spans="55:56" ht="15" customHeight="1" x14ac:dyDescent="0.25">
      <c r="BC93" s="30" t="s">
        <v>905</v>
      </c>
      <c r="BD93" s="31" t="s">
        <v>906</v>
      </c>
    </row>
    <row r="94" spans="55:56" ht="15" customHeight="1" x14ac:dyDescent="0.25">
      <c r="BC94" s="30" t="s">
        <v>907</v>
      </c>
      <c r="BD94" s="31" t="s">
        <v>908</v>
      </c>
    </row>
    <row r="95" spans="55:56" ht="15" customHeight="1" x14ac:dyDescent="0.25">
      <c r="BC95" s="30" t="s">
        <v>909</v>
      </c>
      <c r="BD95" s="31" t="s">
        <v>910</v>
      </c>
    </row>
    <row r="96" spans="55:56" ht="15" customHeight="1" x14ac:dyDescent="0.25">
      <c r="BC96" s="30" t="s">
        <v>911</v>
      </c>
      <c r="BD96" s="31" t="s">
        <v>912</v>
      </c>
    </row>
    <row r="97" spans="55:56" ht="15" customHeight="1" x14ac:dyDescent="0.25">
      <c r="BC97" s="30" t="s">
        <v>913</v>
      </c>
      <c r="BD97" s="31" t="s">
        <v>914</v>
      </c>
    </row>
    <row r="98" spans="55:56" ht="15" customHeight="1" x14ac:dyDescent="0.25">
      <c r="BC98" s="30" t="s">
        <v>915</v>
      </c>
      <c r="BD98" s="31" t="s">
        <v>916</v>
      </c>
    </row>
    <row r="99" spans="55:56" ht="15" customHeight="1" x14ac:dyDescent="0.25">
      <c r="BC99" s="30" t="s">
        <v>917</v>
      </c>
      <c r="BD99" s="31" t="s">
        <v>918</v>
      </c>
    </row>
    <row r="100" spans="55:56" ht="27.75" customHeight="1" x14ac:dyDescent="0.25">
      <c r="BC100" s="30" t="s">
        <v>919</v>
      </c>
      <c r="BD100" s="31" t="s">
        <v>920</v>
      </c>
    </row>
    <row r="101" spans="55:56" ht="15" customHeight="1" x14ac:dyDescent="0.25">
      <c r="BC101" s="30" t="s">
        <v>921</v>
      </c>
      <c r="BD101" s="31" t="s">
        <v>922</v>
      </c>
    </row>
    <row r="102" spans="55:56" ht="15" customHeight="1" x14ac:dyDescent="0.25">
      <c r="BC102" s="30" t="s">
        <v>923</v>
      </c>
      <c r="BD102" s="31" t="s">
        <v>924</v>
      </c>
    </row>
    <row r="103" spans="55:56" ht="15" customHeight="1" x14ac:dyDescent="0.25">
      <c r="BC103" s="30" t="s">
        <v>925</v>
      </c>
      <c r="BD103" s="31" t="s">
        <v>926</v>
      </c>
    </row>
    <row r="104" spans="55:56" ht="15" customHeight="1" x14ac:dyDescent="0.25">
      <c r="BC104" s="30" t="s">
        <v>927</v>
      </c>
      <c r="BD104" s="31" t="s">
        <v>928</v>
      </c>
    </row>
    <row r="105" spans="55:56" ht="15" customHeight="1" x14ac:dyDescent="0.25">
      <c r="BC105" s="30" t="s">
        <v>929</v>
      </c>
      <c r="BD105" s="31" t="s">
        <v>930</v>
      </c>
    </row>
    <row r="106" spans="55:56" ht="15" customHeight="1" x14ac:dyDescent="0.25">
      <c r="BC106" s="30" t="s">
        <v>265</v>
      </c>
      <c r="BD106" s="31" t="s">
        <v>931</v>
      </c>
    </row>
    <row r="107" spans="55:56" ht="15" customHeight="1" x14ac:dyDescent="0.25">
      <c r="BC107" s="30" t="s">
        <v>932</v>
      </c>
      <c r="BD107" s="31" t="s">
        <v>933</v>
      </c>
    </row>
    <row r="108" spans="55:56" ht="15" customHeight="1" x14ac:dyDescent="0.25">
      <c r="BC108" s="30" t="s">
        <v>934</v>
      </c>
      <c r="BD108" s="31" t="s">
        <v>935</v>
      </c>
    </row>
    <row r="109" spans="55:56" ht="15" customHeight="1" x14ac:dyDescent="0.25">
      <c r="BC109" s="30" t="s">
        <v>936</v>
      </c>
      <c r="BD109" s="31" t="s">
        <v>937</v>
      </c>
    </row>
    <row r="110" spans="55:56" ht="15" customHeight="1" x14ac:dyDescent="0.25">
      <c r="BC110" s="30" t="s">
        <v>938</v>
      </c>
      <c r="BD110" s="31" t="s">
        <v>939</v>
      </c>
    </row>
    <row r="111" spans="55:56" ht="15" customHeight="1" x14ac:dyDescent="0.25">
      <c r="BC111" s="30" t="s">
        <v>940</v>
      </c>
      <c r="BD111" s="31" t="s">
        <v>941</v>
      </c>
    </row>
    <row r="112" spans="55:56" ht="15" customHeight="1" x14ac:dyDescent="0.25">
      <c r="BC112" s="30" t="s">
        <v>942</v>
      </c>
      <c r="BD112" s="31" t="s">
        <v>943</v>
      </c>
    </row>
    <row r="113" spans="55:56" ht="15" customHeight="1" x14ac:dyDescent="0.25">
      <c r="BC113" s="30" t="s">
        <v>944</v>
      </c>
      <c r="BD113" s="31" t="s">
        <v>945</v>
      </c>
    </row>
    <row r="114" spans="55:56" ht="15" customHeight="1" x14ac:dyDescent="0.25">
      <c r="BC114" s="30" t="s">
        <v>946</v>
      </c>
      <c r="BD114" s="31" t="s">
        <v>947</v>
      </c>
    </row>
    <row r="115" spans="55:56" ht="15" customHeight="1" x14ac:dyDescent="0.25">
      <c r="BC115" s="30" t="s">
        <v>948</v>
      </c>
      <c r="BD115" s="31" t="s">
        <v>949</v>
      </c>
    </row>
    <row r="116" spans="55:56" ht="15" customHeight="1" x14ac:dyDescent="0.25">
      <c r="BC116" s="30" t="s">
        <v>950</v>
      </c>
      <c r="BD116" s="31" t="s">
        <v>951</v>
      </c>
    </row>
    <row r="117" spans="55:56" ht="15" customHeight="1" x14ac:dyDescent="0.25">
      <c r="BC117" s="30" t="s">
        <v>952</v>
      </c>
      <c r="BD117" s="31" t="s">
        <v>953</v>
      </c>
    </row>
    <row r="118" spans="55:56" ht="15" customHeight="1" x14ac:dyDescent="0.25">
      <c r="BC118" s="30" t="s">
        <v>954</v>
      </c>
      <c r="BD118" s="31" t="s">
        <v>955</v>
      </c>
    </row>
    <row r="119" spans="55:56" ht="15" customHeight="1" x14ac:dyDescent="0.25">
      <c r="BC119" s="30" t="s">
        <v>956</v>
      </c>
      <c r="BD119" s="31" t="s">
        <v>957</v>
      </c>
    </row>
    <row r="120" spans="55:56" ht="15" customHeight="1" x14ac:dyDescent="0.25">
      <c r="BC120" s="30" t="s">
        <v>958</v>
      </c>
      <c r="BD120" s="31" t="s">
        <v>959</v>
      </c>
    </row>
    <row r="121" spans="55:56" ht="27.75" customHeight="1" x14ac:dyDescent="0.25">
      <c r="BC121" s="30" t="s">
        <v>960</v>
      </c>
      <c r="BD121" s="31" t="s">
        <v>961</v>
      </c>
    </row>
    <row r="122" spans="55:56" ht="15" customHeight="1" x14ac:dyDescent="0.25">
      <c r="BC122" s="30" t="s">
        <v>962</v>
      </c>
      <c r="BD122" s="31" t="s">
        <v>963</v>
      </c>
    </row>
    <row r="123" spans="55:56" ht="15" customHeight="1" x14ac:dyDescent="0.25">
      <c r="BC123" s="30" t="s">
        <v>964</v>
      </c>
      <c r="BD123" s="31" t="s">
        <v>965</v>
      </c>
    </row>
    <row r="124" spans="55:56" ht="15" customHeight="1" x14ac:dyDescent="0.25">
      <c r="BC124" s="30" t="s">
        <v>966</v>
      </c>
      <c r="BD124" s="31" t="s">
        <v>967</v>
      </c>
    </row>
    <row r="125" spans="55:56" ht="15" customHeight="1" x14ac:dyDescent="0.25">
      <c r="BC125" s="30" t="s">
        <v>708</v>
      </c>
      <c r="BD125" s="31" t="s">
        <v>968</v>
      </c>
    </row>
    <row r="126" spans="55:56" ht="15" customHeight="1" x14ac:dyDescent="0.25">
      <c r="BC126" s="30" t="s">
        <v>969</v>
      </c>
      <c r="BD126" s="31" t="s">
        <v>970</v>
      </c>
    </row>
    <row r="127" spans="55:56" ht="15" customHeight="1" x14ac:dyDescent="0.25">
      <c r="BC127" s="30" t="s">
        <v>971</v>
      </c>
      <c r="BD127" s="31" t="s">
        <v>972</v>
      </c>
    </row>
    <row r="128" spans="55:56" ht="15" customHeight="1" x14ac:dyDescent="0.25">
      <c r="BC128" s="30" t="s">
        <v>973</v>
      </c>
      <c r="BD128" s="31" t="s">
        <v>974</v>
      </c>
    </row>
    <row r="129" spans="55:56" ht="15" customHeight="1" x14ac:dyDescent="0.25">
      <c r="BC129" s="30" t="s">
        <v>975</v>
      </c>
      <c r="BD129" s="31" t="s">
        <v>976</v>
      </c>
    </row>
    <row r="130" spans="55:56" ht="15" customHeight="1" x14ac:dyDescent="0.25">
      <c r="BC130" s="30" t="s">
        <v>977</v>
      </c>
      <c r="BD130" s="31" t="s">
        <v>978</v>
      </c>
    </row>
    <row r="131" spans="55:56" ht="15" customHeight="1" x14ac:dyDescent="0.25">
      <c r="BC131" s="30" t="s">
        <v>979</v>
      </c>
      <c r="BD131" s="31" t="s">
        <v>980</v>
      </c>
    </row>
    <row r="132" spans="55:56" ht="15" customHeight="1" x14ac:dyDescent="0.25">
      <c r="BC132" s="30" t="s">
        <v>981</v>
      </c>
      <c r="BD132" s="31" t="s">
        <v>982</v>
      </c>
    </row>
    <row r="133" spans="55:56" ht="15" customHeight="1" x14ac:dyDescent="0.25">
      <c r="BC133" s="30" t="s">
        <v>983</v>
      </c>
      <c r="BD133" s="31" t="s">
        <v>984</v>
      </c>
    </row>
    <row r="134" spans="55:56" ht="15" customHeight="1" x14ac:dyDescent="0.25">
      <c r="BC134" s="30" t="s">
        <v>985</v>
      </c>
      <c r="BD134" s="31" t="s">
        <v>986</v>
      </c>
    </row>
    <row r="135" spans="55:56" ht="27.75" customHeight="1" x14ac:dyDescent="0.25">
      <c r="BC135" s="30" t="s">
        <v>987</v>
      </c>
      <c r="BD135" s="31" t="s">
        <v>988</v>
      </c>
    </row>
    <row r="136" spans="55:56" ht="15" customHeight="1" x14ac:dyDescent="0.25">
      <c r="BC136" s="30" t="s">
        <v>989</v>
      </c>
      <c r="BD136" s="31" t="s">
        <v>990</v>
      </c>
    </row>
    <row r="137" spans="55:56" ht="15" customHeight="1" x14ac:dyDescent="0.25">
      <c r="BC137" s="30" t="s">
        <v>991</v>
      </c>
      <c r="BD137" s="31" t="s">
        <v>992</v>
      </c>
    </row>
    <row r="138" spans="55:56" ht="15" customHeight="1" x14ac:dyDescent="0.25">
      <c r="BC138" s="30" t="s">
        <v>993</v>
      </c>
      <c r="BD138" s="31" t="s">
        <v>994</v>
      </c>
    </row>
    <row r="139" spans="55:56" ht="15" customHeight="1" x14ac:dyDescent="0.25">
      <c r="BC139" s="30" t="s">
        <v>995</v>
      </c>
      <c r="BD139" s="31" t="s">
        <v>996</v>
      </c>
    </row>
    <row r="140" spans="55:56" ht="15" customHeight="1" x14ac:dyDescent="0.25">
      <c r="BC140" s="30" t="s">
        <v>731</v>
      </c>
      <c r="BD140" s="31" t="s">
        <v>997</v>
      </c>
    </row>
    <row r="141" spans="55:56" ht="15" customHeight="1" x14ac:dyDescent="0.25">
      <c r="BC141" s="30" t="s">
        <v>998</v>
      </c>
      <c r="BD141" s="31" t="s">
        <v>999</v>
      </c>
    </row>
    <row r="142" spans="55:56" ht="15" customHeight="1" x14ac:dyDescent="0.25">
      <c r="BC142" s="30" t="s">
        <v>724</v>
      </c>
      <c r="BD142" s="31" t="s">
        <v>1000</v>
      </c>
    </row>
    <row r="143" spans="55:56" ht="15" customHeight="1" x14ac:dyDescent="0.25">
      <c r="BC143" s="30" t="s">
        <v>1001</v>
      </c>
      <c r="BD143" s="31" t="s">
        <v>1002</v>
      </c>
    </row>
    <row r="144" spans="55:56" ht="15" customHeight="1" x14ac:dyDescent="0.25">
      <c r="BC144" s="30" t="s">
        <v>1003</v>
      </c>
      <c r="BD144" s="31" t="s">
        <v>1004</v>
      </c>
    </row>
    <row r="145" spans="55:56" ht="15" customHeight="1" x14ac:dyDescent="0.25">
      <c r="BC145" s="30" t="s">
        <v>1005</v>
      </c>
      <c r="BD145" s="31" t="s">
        <v>1006</v>
      </c>
    </row>
    <row r="146" spans="55:56" ht="15" customHeight="1" x14ac:dyDescent="0.25">
      <c r="BC146" s="30" t="s">
        <v>1007</v>
      </c>
      <c r="BD146" s="31" t="s">
        <v>1008</v>
      </c>
    </row>
    <row r="147" spans="55:56" ht="15" customHeight="1" x14ac:dyDescent="0.25">
      <c r="BC147" s="30" t="s">
        <v>1009</v>
      </c>
      <c r="BD147" s="31" t="s">
        <v>1010</v>
      </c>
    </row>
    <row r="148" spans="55:56" ht="15" customHeight="1" x14ac:dyDescent="0.25">
      <c r="BC148" s="30" t="s">
        <v>1011</v>
      </c>
      <c r="BD148" s="31" t="s">
        <v>1012</v>
      </c>
    </row>
    <row r="149" spans="55:56" ht="15" customHeight="1" x14ac:dyDescent="0.25">
      <c r="BC149" s="30" t="s">
        <v>1013</v>
      </c>
      <c r="BD149" s="31" t="s">
        <v>1014</v>
      </c>
    </row>
    <row r="150" spans="55:56" ht="15" customHeight="1" x14ac:dyDescent="0.25">
      <c r="BC150" s="30" t="s">
        <v>1015</v>
      </c>
      <c r="BD150" s="31" t="s">
        <v>1016</v>
      </c>
    </row>
    <row r="151" spans="55:56" ht="15" customHeight="1" x14ac:dyDescent="0.25">
      <c r="BC151" s="30" t="s">
        <v>737</v>
      </c>
      <c r="BD151" s="31" t="s">
        <v>1017</v>
      </c>
    </row>
    <row r="152" spans="55:56" ht="15" customHeight="1" x14ac:dyDescent="0.25">
      <c r="BC152" s="30" t="s">
        <v>1018</v>
      </c>
      <c r="BD152" s="31" t="s">
        <v>1019</v>
      </c>
    </row>
    <row r="153" spans="55:56" ht="15" customHeight="1" x14ac:dyDescent="0.25">
      <c r="BC153" s="30" t="s">
        <v>1020</v>
      </c>
      <c r="BD153" s="31" t="s">
        <v>1021</v>
      </c>
    </row>
    <row r="154" spans="55:56" ht="15" customHeight="1" x14ac:dyDescent="0.25">
      <c r="BC154" s="30" t="s">
        <v>1022</v>
      </c>
      <c r="BD154" s="31" t="s">
        <v>1023</v>
      </c>
    </row>
    <row r="155" spans="55:56" ht="15" customHeight="1" x14ac:dyDescent="0.25">
      <c r="BC155" s="30" t="s">
        <v>745</v>
      </c>
      <c r="BD155" s="31" t="s">
        <v>1024</v>
      </c>
    </row>
    <row r="156" spans="55:56" ht="15" customHeight="1" x14ac:dyDescent="0.25">
      <c r="BC156" s="30" t="s">
        <v>1025</v>
      </c>
      <c r="BD156" s="31" t="s">
        <v>1026</v>
      </c>
    </row>
    <row r="157" spans="55:56" ht="15" customHeight="1" x14ac:dyDescent="0.25">
      <c r="BC157" s="30" t="s">
        <v>212</v>
      </c>
      <c r="BD157" s="31" t="s">
        <v>1027</v>
      </c>
    </row>
    <row r="158" spans="55:56" ht="15" customHeight="1" x14ac:dyDescent="0.25">
      <c r="BC158" s="30" t="s">
        <v>1028</v>
      </c>
      <c r="BD158" s="31" t="s">
        <v>1029</v>
      </c>
    </row>
    <row r="159" spans="55:56" ht="15" customHeight="1" x14ac:dyDescent="0.25">
      <c r="BC159" s="30" t="s">
        <v>1030</v>
      </c>
      <c r="BD159" s="31" t="s">
        <v>1031</v>
      </c>
    </row>
    <row r="160" spans="55:56" ht="15" customHeight="1" x14ac:dyDescent="0.25">
      <c r="BC160" s="30" t="s">
        <v>749</v>
      </c>
      <c r="BD160" s="31" t="s">
        <v>1032</v>
      </c>
    </row>
    <row r="161" spans="55:56" ht="15" customHeight="1" x14ac:dyDescent="0.25">
      <c r="BC161" s="30" t="s">
        <v>1033</v>
      </c>
      <c r="BD161" s="31" t="s">
        <v>1034</v>
      </c>
    </row>
    <row r="162" spans="55:56" ht="15" customHeight="1" x14ac:dyDescent="0.25">
      <c r="BC162" s="30" t="s">
        <v>1035</v>
      </c>
      <c r="BD162" s="31" t="s">
        <v>1036</v>
      </c>
    </row>
    <row r="163" spans="55:56" ht="15" customHeight="1" x14ac:dyDescent="0.25">
      <c r="BC163" s="30" t="s">
        <v>1037</v>
      </c>
      <c r="BD163" s="31" t="s">
        <v>1038</v>
      </c>
    </row>
    <row r="164" spans="55:56" ht="15" customHeight="1" x14ac:dyDescent="0.25">
      <c r="BC164" s="30" t="s">
        <v>1039</v>
      </c>
      <c r="BD164" s="31" t="s">
        <v>1040</v>
      </c>
    </row>
    <row r="165" spans="55:56" ht="15" customHeight="1" x14ac:dyDescent="0.25">
      <c r="BC165" s="30" t="s">
        <v>1041</v>
      </c>
      <c r="BD165" s="31" t="s">
        <v>1042</v>
      </c>
    </row>
    <row r="166" spans="55:56" ht="15" customHeight="1" x14ac:dyDescent="0.25">
      <c r="BC166" s="30" t="s">
        <v>1043</v>
      </c>
      <c r="BD166" s="31" t="s">
        <v>1044</v>
      </c>
    </row>
    <row r="167" spans="55:56" ht="15" customHeight="1" x14ac:dyDescent="0.25">
      <c r="BC167" s="30" t="s">
        <v>1045</v>
      </c>
      <c r="BD167" s="31" t="s">
        <v>1046</v>
      </c>
    </row>
    <row r="168" spans="55:56" ht="15" customHeight="1" x14ac:dyDescent="0.25">
      <c r="BC168" s="30" t="s">
        <v>741</v>
      </c>
      <c r="BD168" s="31" t="s">
        <v>1047</v>
      </c>
    </row>
    <row r="169" spans="55:56" ht="15" customHeight="1" x14ac:dyDescent="0.25">
      <c r="BC169" s="30" t="s">
        <v>1048</v>
      </c>
      <c r="BD169" s="31" t="s">
        <v>1049</v>
      </c>
    </row>
    <row r="170" spans="55:56" ht="15" customHeight="1" x14ac:dyDescent="0.25">
      <c r="BC170" s="30" t="s">
        <v>1050</v>
      </c>
      <c r="BD170" s="31" t="s">
        <v>1051</v>
      </c>
    </row>
    <row r="171" spans="55:56" ht="15" customHeight="1" x14ac:dyDescent="0.25">
      <c r="BC171" s="30" t="s">
        <v>1052</v>
      </c>
      <c r="BD171" s="31" t="s">
        <v>1053</v>
      </c>
    </row>
    <row r="172" spans="55:56" ht="15" customHeight="1" x14ac:dyDescent="0.25">
      <c r="BC172" s="30" t="s">
        <v>1054</v>
      </c>
      <c r="BD172" s="31" t="s">
        <v>1055</v>
      </c>
    </row>
    <row r="173" spans="55:56" ht="15" customHeight="1" x14ac:dyDescent="0.25">
      <c r="BC173" s="30" t="s">
        <v>1056</v>
      </c>
      <c r="BD173" s="31" t="s">
        <v>1057</v>
      </c>
    </row>
    <row r="174" spans="55:56" ht="15" customHeight="1" x14ac:dyDescent="0.25">
      <c r="BC174" s="30" t="s">
        <v>1058</v>
      </c>
      <c r="BD174" s="31" t="s">
        <v>1059</v>
      </c>
    </row>
    <row r="175" spans="55:56" ht="15" customHeight="1" x14ac:dyDescent="0.25">
      <c r="BC175" s="30" t="s">
        <v>1060</v>
      </c>
      <c r="BD175" s="31" t="s">
        <v>1061</v>
      </c>
    </row>
    <row r="176" spans="55:56" ht="15" customHeight="1" x14ac:dyDescent="0.25">
      <c r="BC176" s="30" t="s">
        <v>765</v>
      </c>
      <c r="BD176" s="31" t="s">
        <v>1062</v>
      </c>
    </row>
    <row r="177" spans="55:56" ht="15" customHeight="1" x14ac:dyDescent="0.25">
      <c r="BC177" s="30" t="s">
        <v>1063</v>
      </c>
      <c r="BD177" s="31" t="s">
        <v>1064</v>
      </c>
    </row>
    <row r="178" spans="55:56" ht="15" customHeight="1" x14ac:dyDescent="0.25">
      <c r="BC178" s="30" t="s">
        <v>1065</v>
      </c>
      <c r="BD178" s="31" t="s">
        <v>1066</v>
      </c>
    </row>
    <row r="179" spans="55:56" ht="15" customHeight="1" x14ac:dyDescent="0.25">
      <c r="BC179" s="30" t="s">
        <v>1067</v>
      </c>
      <c r="BD179" s="31" t="s">
        <v>1068</v>
      </c>
    </row>
    <row r="180" spans="55:56" ht="15" customHeight="1" x14ac:dyDescent="0.25">
      <c r="BC180" s="30" t="s">
        <v>1069</v>
      </c>
      <c r="BD180" s="31" t="s">
        <v>1070</v>
      </c>
    </row>
    <row r="181" spans="55:56" ht="15" customHeight="1" x14ac:dyDescent="0.25">
      <c r="BC181" s="30" t="s">
        <v>1071</v>
      </c>
      <c r="BD181" s="31" t="s">
        <v>1072</v>
      </c>
    </row>
    <row r="182" spans="55:56" ht="15" customHeight="1" x14ac:dyDescent="0.25">
      <c r="BC182" s="30" t="s">
        <v>1073</v>
      </c>
      <c r="BD182" s="31" t="s">
        <v>1074</v>
      </c>
    </row>
    <row r="183" spans="55:56" ht="15" customHeight="1" x14ac:dyDescent="0.25">
      <c r="BC183" s="30" t="s">
        <v>1075</v>
      </c>
      <c r="BD183" s="31" t="s">
        <v>1076</v>
      </c>
    </row>
    <row r="184" spans="55:56" ht="15" customHeight="1" x14ac:dyDescent="0.25">
      <c r="BC184" s="30" t="s">
        <v>1077</v>
      </c>
      <c r="BD184" s="31" t="s">
        <v>1078</v>
      </c>
    </row>
    <row r="185" spans="55:56" ht="15" customHeight="1" x14ac:dyDescent="0.25">
      <c r="BC185" s="30" t="s">
        <v>1079</v>
      </c>
      <c r="BD185" s="31" t="s">
        <v>1080</v>
      </c>
    </row>
    <row r="186" spans="55:56" ht="15" customHeight="1" x14ac:dyDescent="0.25">
      <c r="BC186" s="30" t="s">
        <v>1081</v>
      </c>
      <c r="BD186" s="31" t="s">
        <v>1082</v>
      </c>
    </row>
    <row r="187" spans="55:56" ht="15" customHeight="1" x14ac:dyDescent="0.25">
      <c r="BC187" s="30" t="s">
        <v>1083</v>
      </c>
      <c r="BD187" s="31" t="s">
        <v>1084</v>
      </c>
    </row>
    <row r="188" spans="55:56" ht="27.75" customHeight="1" x14ac:dyDescent="0.25">
      <c r="BC188" s="30" t="s">
        <v>1085</v>
      </c>
      <c r="BD188" s="31" t="s">
        <v>1086</v>
      </c>
    </row>
    <row r="189" spans="55:56" ht="27.75" customHeight="1" x14ac:dyDescent="0.25">
      <c r="BC189" s="30" t="s">
        <v>1087</v>
      </c>
      <c r="BD189" s="31" t="s">
        <v>1088</v>
      </c>
    </row>
    <row r="190" spans="55:56" ht="15" customHeight="1" x14ac:dyDescent="0.25">
      <c r="BC190" s="30" t="s">
        <v>1089</v>
      </c>
      <c r="BD190" s="31" t="s">
        <v>1090</v>
      </c>
    </row>
    <row r="191" spans="55:56" ht="15" customHeight="1" x14ac:dyDescent="0.25">
      <c r="BC191" s="30" t="s">
        <v>1091</v>
      </c>
      <c r="BD191" s="31" t="s">
        <v>1092</v>
      </c>
    </row>
    <row r="192" spans="55:56" ht="15" customHeight="1" x14ac:dyDescent="0.25">
      <c r="BC192" s="30" t="s">
        <v>1093</v>
      </c>
      <c r="BD192" s="31" t="s">
        <v>1094</v>
      </c>
    </row>
    <row r="193" spans="55:56" ht="15" customHeight="1" x14ac:dyDescent="0.25">
      <c r="BC193" s="30" t="s">
        <v>1095</v>
      </c>
      <c r="BD193" s="31" t="s">
        <v>1096</v>
      </c>
    </row>
    <row r="194" spans="55:56" ht="15" customHeight="1" x14ac:dyDescent="0.25">
      <c r="BC194" s="30" t="s">
        <v>1097</v>
      </c>
      <c r="BD194" s="31" t="s">
        <v>1098</v>
      </c>
    </row>
    <row r="195" spans="55:56" ht="15" customHeight="1" x14ac:dyDescent="0.25">
      <c r="BC195" s="30" t="s">
        <v>1099</v>
      </c>
      <c r="BD195" s="31" t="s">
        <v>1100</v>
      </c>
    </row>
    <row r="196" spans="55:56" ht="15" customHeight="1" x14ac:dyDescent="0.25">
      <c r="BC196" s="30" t="s">
        <v>1101</v>
      </c>
      <c r="BD196" s="31" t="s">
        <v>1102</v>
      </c>
    </row>
    <row r="197" spans="55:56" ht="15" customHeight="1" x14ac:dyDescent="0.25">
      <c r="BC197" s="30" t="s">
        <v>1103</v>
      </c>
      <c r="BD197" s="31" t="s">
        <v>1104</v>
      </c>
    </row>
    <row r="198" spans="55:56" ht="15" customHeight="1" x14ac:dyDescent="0.25">
      <c r="BC198" s="30" t="s">
        <v>1105</v>
      </c>
      <c r="BD198" s="31" t="s">
        <v>1106</v>
      </c>
    </row>
    <row r="199" spans="55:56" ht="15" customHeight="1" x14ac:dyDescent="0.25">
      <c r="BC199" s="30" t="s">
        <v>1107</v>
      </c>
      <c r="BD199" s="31" t="s">
        <v>1108</v>
      </c>
    </row>
    <row r="200" spans="55:56" ht="15" customHeight="1" x14ac:dyDescent="0.25">
      <c r="BC200" s="30" t="s">
        <v>1109</v>
      </c>
      <c r="BD200" s="31" t="s">
        <v>1110</v>
      </c>
    </row>
    <row r="201" spans="55:56" ht="15" customHeight="1" x14ac:dyDescent="0.25">
      <c r="BC201" s="30" t="s">
        <v>1111</v>
      </c>
      <c r="BD201" s="31" t="s">
        <v>1112</v>
      </c>
    </row>
    <row r="202" spans="55:56" ht="15" customHeight="1" x14ac:dyDescent="0.25">
      <c r="BC202" s="30" t="s">
        <v>1113</v>
      </c>
      <c r="BD202" s="31" t="s">
        <v>1114</v>
      </c>
    </row>
    <row r="203" spans="55:56" ht="15" customHeight="1" x14ac:dyDescent="0.25">
      <c r="BC203" s="30" t="s">
        <v>1115</v>
      </c>
      <c r="BD203" s="31" t="s">
        <v>1116</v>
      </c>
    </row>
    <row r="204" spans="55:56" ht="15" customHeight="1" x14ac:dyDescent="0.25">
      <c r="BC204" s="30" t="s">
        <v>1117</v>
      </c>
      <c r="BD204" s="31" t="s">
        <v>1118</v>
      </c>
    </row>
    <row r="205" spans="55:56" ht="15" customHeight="1" x14ac:dyDescent="0.25">
      <c r="BC205" s="30" t="s">
        <v>775</v>
      </c>
      <c r="BD205" s="31" t="s">
        <v>1119</v>
      </c>
    </row>
    <row r="206" spans="55:56" ht="15" customHeight="1" x14ac:dyDescent="0.25">
      <c r="BC206" s="30" t="s">
        <v>1120</v>
      </c>
      <c r="BD206" s="31" t="s">
        <v>1121</v>
      </c>
    </row>
    <row r="207" spans="55:56" ht="15" customHeight="1" x14ac:dyDescent="0.25">
      <c r="BC207" s="30" t="s">
        <v>1122</v>
      </c>
      <c r="BD207" s="31" t="s">
        <v>1123</v>
      </c>
    </row>
    <row r="208" spans="55:56" ht="15" customHeight="1" x14ac:dyDescent="0.25">
      <c r="BC208" s="30" t="s">
        <v>1124</v>
      </c>
      <c r="BD208" s="31" t="s">
        <v>1125</v>
      </c>
    </row>
    <row r="209" spans="55:56" ht="15" customHeight="1" x14ac:dyDescent="0.25">
      <c r="BC209" s="30" t="s">
        <v>1126</v>
      </c>
      <c r="BD209" s="31" t="s">
        <v>1127</v>
      </c>
    </row>
    <row r="210" spans="55:56" ht="27.75" customHeight="1" x14ac:dyDescent="0.25">
      <c r="BC210" s="30" t="s">
        <v>1128</v>
      </c>
      <c r="BD210" s="31" t="s">
        <v>1129</v>
      </c>
    </row>
    <row r="211" spans="55:56" ht="15" customHeight="1" x14ac:dyDescent="0.25">
      <c r="BC211" s="30" t="s">
        <v>1130</v>
      </c>
      <c r="BD211" s="31" t="s">
        <v>1131</v>
      </c>
    </row>
    <row r="212" spans="55:56" ht="15" customHeight="1" x14ac:dyDescent="0.25">
      <c r="BC212" s="30" t="s">
        <v>1132</v>
      </c>
      <c r="BD212" s="31" t="s">
        <v>1133</v>
      </c>
    </row>
    <row r="213" spans="55:56" ht="15" customHeight="1" x14ac:dyDescent="0.25">
      <c r="BC213" s="30" t="s">
        <v>1134</v>
      </c>
      <c r="BD213" s="31" t="s">
        <v>1135</v>
      </c>
    </row>
    <row r="214" spans="55:56" ht="15" customHeight="1" x14ac:dyDescent="0.25">
      <c r="BC214" s="30" t="s">
        <v>1136</v>
      </c>
      <c r="BD214" s="31" t="s">
        <v>1137</v>
      </c>
    </row>
    <row r="215" spans="55:56" ht="15" customHeight="1" x14ac:dyDescent="0.25">
      <c r="BC215" s="30" t="s">
        <v>1138</v>
      </c>
      <c r="BD215" s="31" t="s">
        <v>1139</v>
      </c>
    </row>
    <row r="216" spans="55:56" ht="15" customHeight="1" x14ac:dyDescent="0.25">
      <c r="BC216" s="30" t="s">
        <v>1140</v>
      </c>
      <c r="BD216" s="31" t="s">
        <v>1141</v>
      </c>
    </row>
    <row r="217" spans="55:56" ht="15" customHeight="1" x14ac:dyDescent="0.25">
      <c r="BC217" s="30" t="s">
        <v>1142</v>
      </c>
      <c r="BD217" s="31" t="s">
        <v>1143</v>
      </c>
    </row>
    <row r="218" spans="55:56" ht="15" customHeight="1" x14ac:dyDescent="0.25">
      <c r="BC218" s="30" t="s">
        <v>1144</v>
      </c>
      <c r="BD218" s="31" t="s">
        <v>1145</v>
      </c>
    </row>
    <row r="219" spans="55:56" ht="15" customHeight="1" x14ac:dyDescent="0.25">
      <c r="BC219" s="30" t="s">
        <v>591</v>
      </c>
      <c r="BD219" s="31" t="s">
        <v>1146</v>
      </c>
    </row>
    <row r="220" spans="55:56" ht="15" customHeight="1" x14ac:dyDescent="0.25">
      <c r="BC220" s="30" t="s">
        <v>1147</v>
      </c>
      <c r="BD220" s="31" t="s">
        <v>1148</v>
      </c>
    </row>
    <row r="221" spans="55:56" ht="15" customHeight="1" x14ac:dyDescent="0.25">
      <c r="BC221" s="30" t="s">
        <v>1149</v>
      </c>
      <c r="BD221" s="31" t="s">
        <v>1150</v>
      </c>
    </row>
    <row r="222" spans="55:56" ht="15" customHeight="1" x14ac:dyDescent="0.25">
      <c r="BC222" s="30" t="s">
        <v>1151</v>
      </c>
      <c r="BD222" s="31" t="s">
        <v>1152</v>
      </c>
    </row>
    <row r="223" spans="55:56" ht="15" customHeight="1" x14ac:dyDescent="0.25">
      <c r="BC223" s="30" t="s">
        <v>1153</v>
      </c>
      <c r="BD223" s="31" t="s">
        <v>1154</v>
      </c>
    </row>
    <row r="224" spans="55:56" ht="15" customHeight="1" x14ac:dyDescent="0.25">
      <c r="BC224" s="30" t="s">
        <v>1155</v>
      </c>
      <c r="BD224" s="31" t="s">
        <v>1156</v>
      </c>
    </row>
    <row r="225" spans="55:56" ht="15" customHeight="1" x14ac:dyDescent="0.25">
      <c r="BC225" s="30" t="s">
        <v>1157</v>
      </c>
      <c r="BD225" s="31" t="s">
        <v>1158</v>
      </c>
    </row>
    <row r="226" spans="55:56" ht="15" customHeight="1" x14ac:dyDescent="0.25">
      <c r="BC226" s="30" t="s">
        <v>778</v>
      </c>
      <c r="BD226" s="31" t="s">
        <v>1159</v>
      </c>
    </row>
    <row r="227" spans="55:56" ht="15" customHeight="1" x14ac:dyDescent="0.25">
      <c r="BC227" s="30" t="s">
        <v>1160</v>
      </c>
      <c r="BD227" s="31" t="s">
        <v>1161</v>
      </c>
    </row>
    <row r="228" spans="55:56" ht="15" customHeight="1" x14ac:dyDescent="0.25">
      <c r="BC228" s="30" t="s">
        <v>1162</v>
      </c>
      <c r="BD228" s="31" t="s">
        <v>1163</v>
      </c>
    </row>
    <row r="229" spans="55:56" ht="15" customHeight="1" x14ac:dyDescent="0.25">
      <c r="BC229" s="30" t="s">
        <v>1164</v>
      </c>
      <c r="BD229" s="31" t="s">
        <v>1165</v>
      </c>
    </row>
    <row r="230" spans="55:56" ht="15" customHeight="1" x14ac:dyDescent="0.25">
      <c r="BC230" s="30" t="s">
        <v>264</v>
      </c>
      <c r="BD230" s="31" t="s">
        <v>1166</v>
      </c>
    </row>
    <row r="231" spans="55:56" ht="15" customHeight="1" x14ac:dyDescent="0.25">
      <c r="BC231" s="30" t="s">
        <v>785</v>
      </c>
      <c r="BD231" s="31" t="s">
        <v>1167</v>
      </c>
    </row>
    <row r="232" spans="55:56" ht="15" customHeight="1" x14ac:dyDescent="0.25">
      <c r="BC232" s="30" t="s">
        <v>1168</v>
      </c>
      <c r="BD232" s="31" t="s">
        <v>1169</v>
      </c>
    </row>
    <row r="233" spans="55:56" ht="15" customHeight="1" x14ac:dyDescent="0.25">
      <c r="BC233" s="30" t="s">
        <v>1170</v>
      </c>
      <c r="BD233" s="31" t="s">
        <v>1171</v>
      </c>
    </row>
    <row r="234" spans="55:56" ht="15" customHeight="1" x14ac:dyDescent="0.25">
      <c r="BC234" s="30" t="s">
        <v>1172</v>
      </c>
      <c r="BD234" s="31" t="s">
        <v>1173</v>
      </c>
    </row>
    <row r="235" spans="55:56" ht="15" customHeight="1" x14ac:dyDescent="0.25">
      <c r="BC235" s="30" t="s">
        <v>1174</v>
      </c>
      <c r="BD235" s="31" t="s">
        <v>1175</v>
      </c>
    </row>
    <row r="236" spans="55:56" ht="15" customHeight="1" x14ac:dyDescent="0.25">
      <c r="BC236" s="30" t="s">
        <v>792</v>
      </c>
      <c r="BD236" s="31" t="s">
        <v>1176</v>
      </c>
    </row>
    <row r="237" spans="55:56" ht="15" customHeight="1" x14ac:dyDescent="0.25">
      <c r="BC237" s="30" t="s">
        <v>1177</v>
      </c>
      <c r="BD237" s="31" t="s">
        <v>1178</v>
      </c>
    </row>
    <row r="238" spans="55:56" ht="15" customHeight="1" x14ac:dyDescent="0.25">
      <c r="BC238" s="30" t="s">
        <v>1179</v>
      </c>
      <c r="BD238" s="31" t="s">
        <v>1180</v>
      </c>
    </row>
    <row r="239" spans="55:56" ht="15" customHeight="1" x14ac:dyDescent="0.25">
      <c r="BC239" s="30" t="s">
        <v>1181</v>
      </c>
      <c r="BD239" s="31" t="s">
        <v>1182</v>
      </c>
    </row>
    <row r="240" spans="55:56" ht="27.75" customHeight="1" x14ac:dyDescent="0.25">
      <c r="BC240" s="30" t="s">
        <v>1183</v>
      </c>
      <c r="BD240" s="31" t="s">
        <v>1184</v>
      </c>
    </row>
    <row r="241" spans="55:56" ht="15" customHeight="1" x14ac:dyDescent="0.25">
      <c r="BC241" s="30" t="s">
        <v>1185</v>
      </c>
      <c r="BD241" s="31" t="s">
        <v>1186</v>
      </c>
    </row>
    <row r="242" spans="55:56" ht="15" customHeight="1" x14ac:dyDescent="0.25">
      <c r="BC242" s="30" t="s">
        <v>1187</v>
      </c>
      <c r="BD242" s="31" t="s">
        <v>1188</v>
      </c>
    </row>
    <row r="243" spans="55:56" ht="15" customHeight="1" x14ac:dyDescent="0.25">
      <c r="BC243" s="30" t="s">
        <v>1189</v>
      </c>
      <c r="BD243" s="31" t="s">
        <v>1190</v>
      </c>
    </row>
    <row r="244" spans="55:56" ht="15" customHeight="1" x14ac:dyDescent="0.25">
      <c r="BC244" s="30" t="s">
        <v>1191</v>
      </c>
      <c r="BD244" s="31" t="s">
        <v>1192</v>
      </c>
    </row>
    <row r="245" spans="55:56" ht="15" customHeight="1" x14ac:dyDescent="0.25">
      <c r="BC245" s="30" t="s">
        <v>1193</v>
      </c>
      <c r="BD245" s="31" t="s">
        <v>1194</v>
      </c>
    </row>
    <row r="246" spans="55:56" ht="15" customHeight="1" x14ac:dyDescent="0.25">
      <c r="BC246" s="30" t="s">
        <v>1195</v>
      </c>
      <c r="BD246" s="31" t="s">
        <v>1196</v>
      </c>
    </row>
    <row r="247" spans="55:56" ht="15" customHeight="1" x14ac:dyDescent="0.25">
      <c r="BC247" s="30" t="s">
        <v>1197</v>
      </c>
      <c r="BD247" s="31" t="s">
        <v>1198</v>
      </c>
    </row>
    <row r="248" spans="55:56" ht="15" customHeight="1" x14ac:dyDescent="0.25">
      <c r="BC248" s="30" t="s">
        <v>1199</v>
      </c>
      <c r="BD248" s="31" t="s">
        <v>1200</v>
      </c>
    </row>
    <row r="249" spans="55:56" ht="15" customHeight="1" x14ac:dyDescent="0.25">
      <c r="BC249" s="30" t="s">
        <v>1201</v>
      </c>
      <c r="BD249" s="31" t="s">
        <v>1202</v>
      </c>
    </row>
    <row r="250" spans="55:56" ht="15" customHeight="1" x14ac:dyDescent="0.25">
      <c r="BC250" s="30" t="s">
        <v>1203</v>
      </c>
      <c r="BD250" s="31" t="s">
        <v>1204</v>
      </c>
    </row>
    <row r="251" spans="55:56" ht="15" customHeight="1" x14ac:dyDescent="0.25">
      <c r="BC251" s="30" t="s">
        <v>1205</v>
      </c>
      <c r="BD251" s="31" t="s">
        <v>1206</v>
      </c>
    </row>
    <row r="252" spans="55:56" ht="15" customHeight="1" x14ac:dyDescent="0.25">
      <c r="BC252" s="30" t="s">
        <v>1207</v>
      </c>
      <c r="BD252" s="31" t="s">
        <v>1208</v>
      </c>
    </row>
  </sheetData>
  <mergeCells count="1">
    <mergeCell ref="A1:L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19</vt:i4>
      </vt:variant>
    </vt:vector>
  </HeadingPairs>
  <TitlesOfParts>
    <vt:vector size="27" baseType="lpstr">
      <vt:lpstr>Instructions</vt:lpstr>
      <vt:lpstr>Header (10)</vt:lpstr>
      <vt:lpstr>Applicant (20)</vt:lpstr>
      <vt:lpstr>Identity (30)</vt:lpstr>
      <vt:lpstr>Related Person (40)</vt:lpstr>
      <vt:lpstr>Images (70)</vt:lpstr>
      <vt:lpstr>Build Text File</vt:lpstr>
      <vt:lpstr>Masters</vt:lpstr>
      <vt:lpstr>AccountType</vt:lpstr>
      <vt:lpstr>ApplicationType</vt:lpstr>
      <vt:lpstr>BooleanFlag</vt:lpstr>
      <vt:lpstr>ConstitutionType</vt:lpstr>
      <vt:lpstr>CountryCode</vt:lpstr>
      <vt:lpstr>DocumentMaster</vt:lpstr>
      <vt:lpstr>FatherSpouseFlag</vt:lpstr>
      <vt:lpstr>Gender</vt:lpstr>
      <vt:lpstr>IdentityCode</vt:lpstr>
      <vt:lpstr>IdentityVerificationFlag</vt:lpstr>
      <vt:lpstr>KYCDocType</vt:lpstr>
      <vt:lpstr>KYCDocTypeLE</vt:lpstr>
      <vt:lpstr>ProofOfAddress</vt:lpstr>
      <vt:lpstr>RelatedPersonAddDel</vt:lpstr>
      <vt:lpstr>RelatedPersonType</vt:lpstr>
      <vt:lpstr>ResidentialStatus</vt:lpstr>
      <vt:lpstr>StateMaster</vt:lpstr>
      <vt:lpstr>TypeOfImpairment</vt:lpstr>
      <vt:lpstr>YN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User</cp:lastModifiedBy>
  <cp:revision>0</cp:revision>
  <dcterms:created xsi:type="dcterms:W3CDTF">2026-08-29T07:34:15Z</dcterms:created>
  <dcterms:modified xsi:type="dcterms:W3CDTF">2026-08-29T08:23:58Z</dcterms:modified>
  <dc:language>en-US</dc:language>
</cp:coreProperties>
</file>